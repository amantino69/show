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Onboarding" sheetId="2" r:id="rId6"/>
    <sheet state="visible" name="CRM — Leads" sheetId="3" r:id="rId7"/>
    <sheet state="visible" name="Pipeline — Marcas" sheetId="4" r:id="rId8"/>
    <sheet state="visible" name="Rotina Semanal" sheetId="5" r:id="rId9"/>
    <sheet state="visible" name="Fechamento Mensal" sheetId="6" r:id="rId10"/>
    <sheet state="visible" name="Faturamento" sheetId="7" r:id="rId11"/>
  </sheets>
  <definedNames/>
  <calcPr/>
</workbook>
</file>

<file path=xl/sharedStrings.xml><?xml version="1.0" encoding="utf-8"?>
<sst xmlns="http://schemas.openxmlformats.org/spreadsheetml/2006/main" count="263" uniqueCount="150">
  <si>
    <t>VIEZES ASSESSORIA — PAINEL OPERACIONAL</t>
  </si>
  <si>
    <t>Gestão de Influenciadores · Artistas · Modelos</t>
  </si>
  <si>
    <t>ASSESSORADOS
ATIVOS</t>
  </si>
  <si>
    <t>PROPOSTAS
ABERTAS</t>
  </si>
  <si>
    <t>FECHAMENTOS
MÊS</t>
  </si>
  <si>
    <t>FOLLOW-UPS
PENDENTES</t>
  </si>
  <si>
    <t>—</t>
  </si>
  <si>
    <t>Atualizar manualmente</t>
  </si>
  <si>
    <t>ℹ  Navegue pelas abas para acessar cada módulo operacional da assessoria.</t>
  </si>
  <si>
    <t xml:space="preserve">  PAPÉIS DA EQUIPE</t>
  </si>
  <si>
    <t>BLOCO</t>
  </si>
  <si>
    <t>JULIA MARIA</t>
  </si>
  <si>
    <t>JULIA VIANA (JUJU)</t>
  </si>
  <si>
    <t>OBSERVAÇÃO</t>
  </si>
  <si>
    <t>Relacionamento com Marcas</t>
  </si>
  <si>
    <t>LIDERA — contato externo</t>
  </si>
  <si>
    <t>Apoia pesquisa e preparo</t>
  </si>
  <si>
    <t>Contato principal: Julia Maria</t>
  </si>
  <si>
    <t>Relacionamento com Assessorados</t>
  </si>
  <si>
    <t>Pontos estratégicos</t>
  </si>
  <si>
    <t>LIDERA — ponte do dia a dia</t>
  </si>
  <si>
    <t>Juju é a referência diária</t>
  </si>
  <si>
    <t>PDFs e Materiais</t>
  </si>
  <si>
    <t>Direciona e aprova</t>
  </si>
  <si>
    <t>Monta rascunho (Rogler exec.)</t>
  </si>
  <si>
    <t>Rogler executa o design</t>
  </si>
  <si>
    <t>Fechamento</t>
  </si>
  <si>
    <t>LIDERA — reuniões finais</t>
  </si>
  <si>
    <t>Apoia com proposta/contrato</t>
  </si>
  <si>
    <t>Reuniões finais: Julia Maria</t>
  </si>
  <si>
    <t xml:space="preserve">  REGRAS DE COMISSIONAMENTO</t>
  </si>
  <si>
    <t>🏷  Marca vem do PRÓPRIO ASSESSORADO → Comissão: 10%</t>
  </si>
  <si>
    <t>🚀  Marca TRAZIDA PELA VIEZES → Comissão: 20%</t>
  </si>
  <si>
    <t>CHECKLIST DE ONBOARDING — NOVO ASSESSORADO</t>
  </si>
  <si>
    <t>Assessorado:</t>
  </si>
  <si>
    <t>Data de entrada</t>
  </si>
  <si>
    <t>STATUS</t>
  </si>
  <si>
    <t>TAREFA</t>
  </si>
  <si>
    <t>RESPONSÁVEL</t>
  </si>
  <si>
    <t>PRAZO</t>
  </si>
  <si>
    <t>CONCLUÍDO EM</t>
  </si>
  <si>
    <t>OBS.</t>
  </si>
  <si>
    <t xml:space="preserve">  ETAPA 1 — CAPTAÇÃO</t>
  </si>
  <si>
    <t>Lead registrado no CRM (nome, origem, data, responsável)</t>
  </si>
  <si>
    <t>Julia Viana</t>
  </si>
  <si>
    <t>No ato</t>
  </si>
  <si>
    <t>Canal de entrada identificado (indicação / prospecção / direto)</t>
  </si>
  <si>
    <t xml:space="preserve">  ETAPA 2 — QUALIFICAÇÃO</t>
  </si>
  <si>
    <t>Perfil e necessidade avaliados por Julia Viana</t>
  </si>
  <si>
    <t>D+1</t>
  </si>
  <si>
    <t>Reunião com Julia Maria agendada (se qualificado)</t>
  </si>
  <si>
    <t>D+2</t>
  </si>
  <si>
    <t xml:space="preserve">  ETAPA 3 — REUNIÃO DE DESCOBERTA</t>
  </si>
  <si>
    <t>Reunião de descoberta realizada por Julia Maria</t>
  </si>
  <si>
    <t>Julia Maria</t>
  </si>
  <si>
    <t>D+5</t>
  </si>
  <si>
    <t>Formato de assessoria e condições definidos</t>
  </si>
  <si>
    <t xml:space="preserve">  ETAPA 4 — CONTRATO</t>
  </si>
  <si>
    <t>Contrato gerado por Julia Viana conforme condições acordadas</t>
  </si>
  <si>
    <t>D+6</t>
  </si>
  <si>
    <t>Contrato assinado e arquivado</t>
  </si>
  <si>
    <t>D+8</t>
  </si>
  <si>
    <t xml:space="preserve">  ETAPA 5 — ONBOARDING PÓS-ASSINATURA</t>
  </si>
  <si>
    <t>Grupo de comunicação criado com o assessorado</t>
  </si>
  <si>
    <t>D+9</t>
  </si>
  <si>
    <t>Bio coletada</t>
  </si>
  <si>
    <t>D+10</t>
  </si>
  <si>
    <t>Posicionamento e nicho definidos</t>
  </si>
  <si>
    <t>Audiência mapeada</t>
  </si>
  <si>
    <t>Histórico de ações e marcas coletado</t>
  </si>
  <si>
    <t>Contatos relevantes levantados</t>
  </si>
  <si>
    <t>Tabela de valores recebida</t>
  </si>
  <si>
    <t>Agenda e restrições informadas</t>
  </si>
  <si>
    <t>Metas definidas com o assessorado</t>
  </si>
  <si>
    <t>Marcas desejadas listadas</t>
  </si>
  <si>
    <t xml:space="preserve">  ETAPA 6 — ORGANIZAÇÃO INTERNA (TRELLO)</t>
  </si>
  <si>
    <t>Pasta criada no Trello com contrato e briefing</t>
  </si>
  <si>
    <t>D+11</t>
  </si>
  <si>
    <t>Contatos importantes registrados</t>
  </si>
  <si>
    <t>Histórico de marcas organizado na pasta</t>
  </si>
  <si>
    <t xml:space="preserve">  ETAPA 7 — E-MAIL PROFISSIONAL</t>
  </si>
  <si>
    <t>E-mail operacional do assessorado criado</t>
  </si>
  <si>
    <t>D+12</t>
  </si>
  <si>
    <t xml:space="preserve">  ETAPA 8 — ALINHAMENTO FINO</t>
  </si>
  <si>
    <t>Reunião de alinhamento realizada</t>
  </si>
  <si>
    <t>D+14</t>
  </si>
  <si>
    <t>Metas dos primeiros 30 dias definidas e registradas</t>
  </si>
  <si>
    <t>PROGRESSO DO ONBOARDING:</t>
  </si>
  <si>
    <t>CRM — LEADS E ASSESSORADOS</t>
  </si>
  <si>
    <t>NOME</t>
  </si>
  <si>
    <t>NICHO</t>
  </si>
  <si>
    <t>COMO CHEGOU</t>
  </si>
  <si>
    <t>QUALIFICADO?</t>
  </si>
  <si>
    <t>DATA ENTRADA</t>
  </si>
  <si>
    <t>OBSERVAÇÕES</t>
  </si>
  <si>
    <t>PIPELINE DE PROSPECÇÃO — MARCAS</t>
  </si>
  <si>
    <t>ASSESSORADO</t>
  </si>
  <si>
    <t>MARCA</t>
  </si>
  <si>
    <t>CONTATO NA MARCA</t>
  </si>
  <si>
    <t>NICHO/SEGMENTO</t>
  </si>
  <si>
    <t>ORIGEM</t>
  </si>
  <si>
    <t>COMISSÃO %</t>
  </si>
  <si>
    <t>VALOR (R$)</t>
  </si>
  <si>
    <t>PRÓX. PASSO</t>
  </si>
  <si>
    <t>TOTAL FECHADO NO PIPELINE:</t>
  </si>
  <si>
    <t>ROTINA SEMANAL — VIEZES ASSESSORIA</t>
  </si>
  <si>
    <t>DIA</t>
  </si>
  <si>
    <t xml:space="preserve">  SEGUNDA-FEIRA</t>
  </si>
  <si>
    <t>Revisar pipeline de marcas por assessorado</t>
  </si>
  <si>
    <t>Verificar oportunidades em aberto</t>
  </si>
  <si>
    <t>Atualizar status no CRM</t>
  </si>
  <si>
    <t>Julia Viana + Julia Maria</t>
  </si>
  <si>
    <t xml:space="preserve">  TERÇA-FEIRA</t>
  </si>
  <si>
    <t>Prospecção de novas marcas</t>
  </si>
  <si>
    <t>Usar mídia kit</t>
  </si>
  <si>
    <t>Follow-up com marcas sem resposta (3–5 dias)</t>
  </si>
  <si>
    <t>Firme e cordial</t>
  </si>
  <si>
    <t>Retomar contatos com marcas quentes</t>
  </si>
  <si>
    <t>Reforçar propostas enviadas</t>
  </si>
  <si>
    <t>Atualizar marcas com novidades do assessorado</t>
  </si>
  <si>
    <t xml:space="preserve">  QUARTA-FEIRA</t>
  </si>
  <si>
    <t>Atualizar PDFs e mídia kits se necessário</t>
  </si>
  <si>
    <t>Rogler executa</t>
  </si>
  <si>
    <t>Revisar calendário de ações</t>
  </si>
  <si>
    <t>Organizar pendências documentais</t>
  </si>
  <si>
    <t xml:space="preserve">  SEXTA-FEIRA</t>
  </si>
  <si>
    <t>Fechamento semanal: status de cada assessorado</t>
  </si>
  <si>
    <t>Listar propostas abertas</t>
  </si>
  <si>
    <t>Registrar entradas previstas</t>
  </si>
  <si>
    <t>Levantar pendências para semana seguinte</t>
  </si>
  <si>
    <t>Julia Maria + Julia Viana</t>
  </si>
  <si>
    <t>FECHAMENTO MENSAL — VIEZES ASSESSORIA</t>
  </si>
  <si>
    <t>Mês de referência:</t>
  </si>
  <si>
    <t xml:space="preserve">  MARCAS PROSPECTADAS NO MÊS</t>
  </si>
  <si>
    <t>STATUS FINAL</t>
  </si>
  <si>
    <t>VALOR FECHADO (R$)</t>
  </si>
  <si>
    <t>TOTAL FECHADO NO MÊS:</t>
  </si>
  <si>
    <t>COMISSÃO VIEZES — 20%:</t>
  </si>
  <si>
    <t>COMISSÃO ASSESSORADO — 10%:</t>
  </si>
  <si>
    <t xml:space="preserve">  CHECKLIST DE FECHAMENTO MENSAL</t>
  </si>
  <si>
    <t>Relatorio de marcas prospectadas, respostas e resultados preenchido</t>
  </si>
  <si>
    <t>Faturamento do mes calculado por assessorado</t>
  </si>
  <si>
    <t>PDF padrao gerado e arquivado</t>
  </si>
  <si>
    <t>Reuniao de alinhamento do proximo mes agendada e realizada</t>
  </si>
  <si>
    <t>Pipeline atualizado com status final de cada negociacao</t>
  </si>
  <si>
    <t>CONTROLE DE FATURAMENTO — VIEZES</t>
  </si>
  <si>
    <t>MÊS</t>
  </si>
  <si>
    <t>VALOR DA AÇÃO (R$)</t>
  </si>
  <si>
    <t>COMISSÃO VIEZES (R$)</t>
  </si>
  <si>
    <t>TOTAL COMISSÃO VIEZES: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</si>
</sst>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R$ &quot;#,##0.00"/>
  </numFmts>
  <fonts count="28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10.0"/>
      <color rgb="FFB39DDB"/>
      <name val="Arial"/>
    </font>
    <font>
      <b/>
      <sz val="9.0"/>
      <color rgb="FFFFFFFF"/>
      <name val="Arial"/>
    </font>
    <font>
      <b/>
      <sz val="24.0"/>
      <color rgb="FFFFFFFF"/>
      <name val="Arial"/>
    </font>
    <font>
      <i/>
      <sz val="8.0"/>
      <color rgb="FFFFFFFF"/>
      <name val="Arial"/>
    </font>
    <font>
      <i/>
      <sz val="10.0"/>
      <color rgb="FF6B48C8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333333"/>
      <name val="Arial"/>
    </font>
    <font>
      <sz val="10.0"/>
      <color rgb="FF3B1F7A"/>
      <name val="Arial"/>
    </font>
    <font>
      <i/>
      <sz val="9.0"/>
      <color rgb="FF888888"/>
      <name val="Arial"/>
    </font>
    <font>
      <b/>
      <sz val="11.0"/>
      <color rgb="FF1E8449"/>
      <name val="Arial"/>
    </font>
    <font>
      <b/>
      <sz val="11.0"/>
      <color rgb="FF6B48C8"/>
      <name val="Arial"/>
    </font>
    <font>
      <b/>
      <sz val="11.0"/>
      <color rgb="FF3B1F7A"/>
      <name val="Arial"/>
    </font>
    <font>
      <sz val="11.0"/>
      <color rgb="FF333333"/>
      <name val="Arial"/>
    </font>
    <font>
      <b/>
      <sz val="11.0"/>
      <color rgb="FF333333"/>
      <name val="Arial"/>
    </font>
    <font>
      <sz val="10.0"/>
      <color rgb="FF333333"/>
      <name val="Arial"/>
    </font>
    <font>
      <b/>
      <sz val="10.0"/>
      <color rgb="FF3B1F7A"/>
      <name val="Arial"/>
    </font>
    <font>
      <sz val="10.0"/>
      <color rgb="FF888888"/>
      <name val="Arial"/>
    </font>
    <font>
      <sz val="11.0"/>
      <color theme="1"/>
      <name val="Calibri"/>
    </font>
    <font>
      <i/>
      <sz val="10.0"/>
      <color rgb="FF888888"/>
      <name val="Arial"/>
    </font>
    <font>
      <b/>
      <sz val="14.0"/>
      <color rgb="FFFFFFFF"/>
      <name val="Arial"/>
    </font>
    <font>
      <b/>
      <sz val="12.0"/>
      <color rgb="FFFFFFFF"/>
      <name val="Arial"/>
    </font>
    <font>
      <sz val="10.0"/>
      <color rgb="FFFFFFFF"/>
      <name val="Arial"/>
    </font>
    <font>
      <b/>
      <sz val="11.0"/>
      <color theme="1"/>
      <name val="Arial"/>
    </font>
    <font>
      <b/>
      <sz val="13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B1F7A"/>
        <bgColor rgb="FF3B1F7A"/>
      </patternFill>
    </fill>
    <fill>
      <patternFill patternType="solid">
        <fgColor rgb="FF6B48C8"/>
        <bgColor rgb="FF6B48C8"/>
      </patternFill>
    </fill>
    <fill>
      <patternFill patternType="solid">
        <fgColor rgb="FF1E8449"/>
        <bgColor rgb="FF1E8449"/>
      </patternFill>
    </fill>
    <fill>
      <patternFill patternType="solid">
        <fgColor rgb="FFC0392B"/>
        <bgColor rgb="FFC0392B"/>
      </patternFill>
    </fill>
    <fill>
      <patternFill patternType="solid">
        <fgColor rgb="FFEDE7FF"/>
        <bgColor rgb="FFEDE7FF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B39DDB"/>
        <bgColor rgb="FFB39DDB"/>
      </patternFill>
    </fill>
    <fill>
      <patternFill patternType="solid">
        <fgColor rgb="FF333333"/>
        <bgColor rgb="FF333333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6B48C8"/>
      </left>
      <top style="medium">
        <color rgb="FF6B48C8"/>
      </top>
      <bottom style="medium">
        <color rgb="FF6B48C8"/>
      </bottom>
    </border>
    <border>
      <top style="medium">
        <color rgb="FF6B48C8"/>
      </top>
      <bottom style="medium">
        <color rgb="FF6B48C8"/>
      </bottom>
    </border>
    <border>
      <right/>
      <top style="medium">
        <color rgb="FF6B48C8"/>
      </top>
      <bottom style="medium">
        <color rgb="FF6B48C8"/>
      </bottom>
    </border>
    <border>
      <left style="medium">
        <color rgb="FF6B48C8"/>
      </left>
      <right style="medium">
        <color rgb="FF6B48C8"/>
      </right>
      <top style="medium">
        <color rgb="FF6B48C8"/>
      </top>
      <bottom style="medium">
        <color rgb="FF6B48C8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4" fontId="5" numFmtId="0" xfId="0" applyAlignment="1" applyBorder="1" applyFont="1">
      <alignment horizontal="center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4" fontId="6" numFmtId="0" xfId="0" applyAlignment="1" applyBorder="1" applyFont="1">
      <alignment horizontal="center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4" fillId="6" fontId="7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3" fontId="8" numFmtId="0" xfId="0" applyAlignment="1" applyBorder="1" applyFont="1">
      <alignment horizontal="left" shrinkToFit="0" vertical="center" wrapText="0"/>
    </xf>
    <xf borderId="4" fillId="2" fontId="9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2" fontId="9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left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8" fillId="6" fontId="12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left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8" fillId="7" fontId="12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0"/>
    </xf>
    <xf borderId="4" fillId="8" fontId="13" numFmtId="0" xfId="0" applyAlignment="1" applyBorder="1" applyFill="1" applyFont="1">
      <alignment horizontal="center" shrinkToFit="0" vertical="center" wrapText="0"/>
    </xf>
    <xf borderId="4" fillId="6" fontId="14" numFmtId="0" xfId="0" applyAlignment="1" applyBorder="1" applyFont="1">
      <alignment horizontal="center" shrinkToFit="0" vertical="center" wrapText="0"/>
    </xf>
    <xf borderId="4" fillId="6" fontId="15" numFmtId="0" xfId="0" applyAlignment="1" applyBorder="1" applyFont="1">
      <alignment horizontal="left" shrinkToFit="0" vertical="center" wrapText="0"/>
    </xf>
    <xf borderId="9" fillId="6" fontId="16" numFmtId="0" xfId="0" applyAlignment="1" applyBorder="1" applyFont="1">
      <alignment horizontal="left" shrinkToFit="0" vertical="center" wrapText="0"/>
    </xf>
    <xf borderId="10" fillId="0" fontId="2" numFmtId="0" xfId="0" applyBorder="1" applyFont="1"/>
    <xf borderId="11" fillId="0" fontId="2" numFmtId="0" xfId="0" applyBorder="1" applyFont="1"/>
    <xf borderId="8" fillId="6" fontId="15" numFmtId="0" xfId="0" applyAlignment="1" applyBorder="1" applyFont="1">
      <alignment horizontal="left" readingOrder="0" shrinkToFit="0" vertical="center" wrapText="0"/>
    </xf>
    <xf borderId="9" fillId="6" fontId="16" numFmtId="0" xfId="0" applyAlignment="1" applyBorder="1" applyFont="1">
      <alignment horizontal="center" shrinkToFit="0" vertical="center" wrapText="0"/>
    </xf>
    <xf borderId="8" fillId="6" fontId="17" numFmtId="0" xfId="0" applyAlignment="1" applyBorder="1" applyFont="1">
      <alignment horizontal="center" shrinkToFit="0" vertical="center" wrapText="0"/>
    </xf>
    <xf borderId="8" fillId="6" fontId="18" numFmtId="0" xfId="0" applyAlignment="1" applyBorder="1" applyFont="1">
      <alignment horizontal="left" shrinkToFit="0" vertical="center" wrapText="1"/>
    </xf>
    <xf borderId="8" fillId="6" fontId="19" numFmtId="0" xfId="0" applyAlignment="1" applyBorder="1" applyFont="1">
      <alignment horizontal="center" shrinkToFit="0" vertical="center" wrapText="0"/>
    </xf>
    <xf borderId="8" fillId="6" fontId="20" numFmtId="0" xfId="0" applyAlignment="1" applyBorder="1" applyFont="1">
      <alignment horizontal="center" shrinkToFit="0" vertical="center" wrapText="0"/>
    </xf>
    <xf borderId="8" fillId="6" fontId="21" numFmtId="0" xfId="0" applyAlignment="1" applyBorder="1" applyFont="1">
      <alignment shrinkToFit="0" vertical="bottom" wrapText="0"/>
    </xf>
    <xf borderId="8" fillId="6" fontId="22" numFmtId="0" xfId="0" applyAlignment="1" applyBorder="1" applyFont="1">
      <alignment horizontal="left" shrinkToFit="0" vertical="center" wrapText="1"/>
    </xf>
    <xf borderId="8" fillId="7" fontId="17" numFmtId="0" xfId="0" applyAlignment="1" applyBorder="1" applyFont="1">
      <alignment horizontal="center" shrinkToFit="0" vertical="center" wrapText="0"/>
    </xf>
    <xf borderId="8" fillId="7" fontId="18" numFmtId="0" xfId="0" applyAlignment="1" applyBorder="1" applyFont="1">
      <alignment horizontal="left" shrinkToFit="0" vertical="center" wrapText="1"/>
    </xf>
    <xf borderId="8" fillId="7" fontId="19" numFmtId="0" xfId="0" applyAlignment="1" applyBorder="1" applyFont="1">
      <alignment horizontal="center" shrinkToFit="0" vertical="center" wrapText="0"/>
    </xf>
    <xf borderId="8" fillId="7" fontId="20" numFmtId="0" xfId="0" applyAlignment="1" applyBorder="1" applyFont="1">
      <alignment horizontal="center" shrinkToFit="0" vertical="center" wrapText="0"/>
    </xf>
    <xf borderId="8" fillId="7" fontId="21" numFmtId="0" xfId="0" applyAlignment="1" applyBorder="1" applyFont="1">
      <alignment shrinkToFit="0" vertical="bottom" wrapText="0"/>
    </xf>
    <xf borderId="8" fillId="7" fontId="22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right" shrinkToFit="0" vertical="center" wrapText="0"/>
    </xf>
    <xf borderId="9" fillId="4" fontId="23" numFmtId="9" xfId="0" applyAlignment="1" applyBorder="1" applyFont="1" applyNumberFormat="1">
      <alignment horizontal="center" shrinkToFit="0" vertical="center" wrapText="0"/>
    </xf>
    <xf borderId="8" fillId="6" fontId="18" numFmtId="0" xfId="0" applyAlignment="1" applyBorder="1" applyFont="1">
      <alignment horizontal="center" shrinkToFit="0" vertical="center" wrapText="1"/>
    </xf>
    <xf borderId="8" fillId="6" fontId="18" numFmtId="164" xfId="0" applyAlignment="1" applyBorder="1" applyFont="1" applyNumberFormat="1">
      <alignment horizontal="center" shrinkToFit="0" vertical="center" wrapText="1"/>
    </xf>
    <xf borderId="8" fillId="7" fontId="18" numFmtId="0" xfId="0" applyAlignment="1" applyBorder="1" applyFont="1">
      <alignment horizontal="center" shrinkToFit="0" vertical="center" wrapText="1"/>
    </xf>
    <xf borderId="8" fillId="7" fontId="18" numFmtId="164" xfId="0" applyAlignment="1" applyBorder="1" applyFont="1" applyNumberFormat="1">
      <alignment horizontal="center" shrinkToFit="0" vertical="center" wrapText="1"/>
    </xf>
    <xf borderId="8" fillId="6" fontId="18" numFmtId="9" xfId="0" applyAlignment="1" applyBorder="1" applyFont="1" applyNumberFormat="1">
      <alignment horizontal="center" shrinkToFit="0" vertical="center" wrapText="1"/>
    </xf>
    <xf borderId="8" fillId="6" fontId="18" numFmtId="165" xfId="0" applyAlignment="1" applyBorder="1" applyFont="1" applyNumberFormat="1">
      <alignment horizontal="center" shrinkToFit="0" vertical="center" wrapText="1"/>
    </xf>
    <xf borderId="8" fillId="7" fontId="18" numFmtId="9" xfId="0" applyAlignment="1" applyBorder="1" applyFont="1" applyNumberFormat="1">
      <alignment horizontal="center" shrinkToFit="0" vertical="center" wrapText="1"/>
    </xf>
    <xf borderId="8" fillId="7" fontId="18" numFmtId="165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right" shrinkToFit="0" vertical="center" wrapText="0"/>
    </xf>
    <xf borderId="12" fillId="4" fontId="24" numFmtId="165" xfId="0" applyAlignment="1" applyBorder="1" applyFont="1" applyNumberFormat="1">
      <alignment horizontal="center" shrinkToFit="0" vertical="center" wrapText="0"/>
    </xf>
    <xf borderId="4" fillId="2" fontId="8" numFmtId="0" xfId="0" applyAlignment="1" applyBorder="1" applyFont="1">
      <alignment horizontal="left" shrinkToFit="0" vertical="center" wrapText="0"/>
    </xf>
    <xf borderId="8" fillId="2" fontId="25" numFmtId="0" xfId="0" applyAlignment="1" applyBorder="1" applyFont="1">
      <alignment horizontal="center" shrinkToFit="0" vertical="center" wrapText="0"/>
    </xf>
    <xf borderId="8" fillId="6" fontId="18" numFmtId="0" xfId="0" applyAlignment="1" applyBorder="1" applyFont="1">
      <alignment horizontal="center" shrinkToFit="0" vertical="center" wrapText="0"/>
    </xf>
    <xf borderId="8" fillId="7" fontId="18" numFmtId="0" xfId="0" applyAlignment="1" applyBorder="1" applyFont="1">
      <alignment horizontal="center" shrinkToFit="0" vertical="center" wrapText="0"/>
    </xf>
    <xf borderId="8" fillId="3" fontId="25" numFmtId="0" xfId="0" applyAlignment="1" applyBorder="1" applyFont="1">
      <alignment horizontal="center" shrinkToFit="0" vertical="center" wrapText="0"/>
    </xf>
    <xf borderId="4" fillId="9" fontId="8" numFmtId="0" xfId="0" applyAlignment="1" applyBorder="1" applyFill="1" applyFont="1">
      <alignment horizontal="left" shrinkToFit="0" vertical="center" wrapText="0"/>
    </xf>
    <xf borderId="8" fillId="9" fontId="25" numFmtId="0" xfId="0" applyAlignment="1" applyBorder="1" applyFont="1">
      <alignment horizontal="center" shrinkToFit="0" vertical="center" wrapText="0"/>
    </xf>
    <xf borderId="8" fillId="4" fontId="25" numFmtId="0" xfId="0" applyAlignment="1" applyBorder="1" applyFont="1">
      <alignment horizontal="center" shrinkToFit="0" vertical="center" wrapText="0"/>
    </xf>
    <xf borderId="4" fillId="6" fontId="15" numFmtId="0" xfId="0" applyAlignment="1" applyBorder="1" applyFont="1">
      <alignment horizontal="right" shrinkToFit="0" vertical="center" wrapText="0"/>
    </xf>
    <xf borderId="4" fillId="10" fontId="8" numFmtId="0" xfId="0" applyAlignment="1" applyBorder="1" applyFill="1" applyFont="1">
      <alignment horizontal="right" shrinkToFit="0" vertical="center" wrapText="0"/>
    </xf>
    <xf borderId="12" fillId="3" fontId="24" numFmtId="165" xfId="0" applyAlignment="1" applyBorder="1" applyFont="1" applyNumberFormat="1">
      <alignment horizontal="center" shrinkToFit="0" vertical="center" wrapText="0"/>
    </xf>
    <xf borderId="12" fillId="9" fontId="24" numFmtId="165" xfId="0" applyAlignment="1" applyBorder="1" applyFont="1" applyNumberFormat="1">
      <alignment horizontal="center" shrinkToFit="0" vertical="center" wrapText="0"/>
    </xf>
    <xf borderId="8" fillId="6" fontId="26" numFmtId="0" xfId="0" applyAlignment="1" applyBorder="1" applyFont="1">
      <alignment horizontal="center" shrinkToFit="0" vertical="center" wrapText="0"/>
    </xf>
    <xf borderId="4" fillId="6" fontId="18" numFmtId="0" xfId="0" applyAlignment="1" applyBorder="1" applyFont="1">
      <alignment horizontal="left" shrinkToFit="0" vertical="center" wrapText="1"/>
    </xf>
    <xf borderId="8" fillId="7" fontId="26" numFmtId="0" xfId="0" applyAlignment="1" applyBorder="1" applyFont="1">
      <alignment horizontal="center" shrinkToFit="0" vertical="center" wrapText="0"/>
    </xf>
    <xf borderId="4" fillId="7" fontId="18" numFmtId="0" xfId="0" applyAlignment="1" applyBorder="1" applyFont="1">
      <alignment horizontal="left" shrinkToFit="0" vertical="center" wrapText="1"/>
    </xf>
    <xf borderId="8" fillId="6" fontId="18" numFmtId="165" xfId="0" applyAlignment="1" applyBorder="1" applyFont="1" applyNumberFormat="1">
      <alignment horizontal="center" shrinkToFit="0" vertical="center" wrapText="0"/>
    </xf>
    <xf borderId="8" fillId="6" fontId="18" numFmtId="9" xfId="0" applyAlignment="1" applyBorder="1" applyFont="1" applyNumberFormat="1">
      <alignment horizontal="center" shrinkToFit="0" vertical="center" wrapText="0"/>
    </xf>
    <xf borderId="8" fillId="7" fontId="18" numFmtId="165" xfId="0" applyAlignment="1" applyBorder="1" applyFont="1" applyNumberFormat="1">
      <alignment horizontal="center" shrinkToFit="0" vertical="center" wrapText="0"/>
    </xf>
    <xf borderId="8" fillId="7" fontId="18" numFmtId="9" xfId="0" applyAlignment="1" applyBorder="1" applyFont="1" applyNumberFormat="1">
      <alignment horizontal="center" shrinkToFit="0" vertical="center" wrapText="0"/>
    </xf>
    <xf borderId="12" fillId="4" fontId="27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9" width="18.0"/>
    <col customWidth="1" min="10" max="26" width="8.71"/>
  </cols>
  <sheetData>
    <row r="1" ht="45.0" customHeight="1">
      <c r="B1" s="1" t="s">
        <v>0</v>
      </c>
      <c r="C1" s="2"/>
      <c r="D1" s="2"/>
      <c r="E1" s="2"/>
      <c r="F1" s="2"/>
      <c r="G1" s="2"/>
      <c r="H1" s="2"/>
      <c r="I1" s="3"/>
    </row>
    <row r="2" ht="21.75" customHeight="1">
      <c r="B2" s="4" t="s">
        <v>1</v>
      </c>
      <c r="C2" s="2"/>
      <c r="D2" s="2"/>
      <c r="E2" s="2"/>
      <c r="F2" s="2"/>
      <c r="G2" s="2"/>
      <c r="H2" s="2"/>
      <c r="I2" s="3"/>
    </row>
    <row r="4" ht="19.5" customHeight="1">
      <c r="B4" s="5" t="s">
        <v>2</v>
      </c>
      <c r="C4" s="3"/>
      <c r="D4" s="6" t="s">
        <v>3</v>
      </c>
      <c r="E4" s="3"/>
      <c r="F4" s="7" t="s">
        <v>4</v>
      </c>
      <c r="G4" s="3"/>
      <c r="H4" s="8" t="s">
        <v>5</v>
      </c>
      <c r="I4" s="3"/>
    </row>
    <row r="5" ht="45.0" customHeight="1">
      <c r="B5" s="9" t="s">
        <v>6</v>
      </c>
      <c r="C5" s="3"/>
      <c r="D5" s="10" t="s">
        <v>6</v>
      </c>
      <c r="E5" s="3"/>
      <c r="F5" s="11" t="s">
        <v>6</v>
      </c>
      <c r="G5" s="3"/>
      <c r="H5" s="12" t="s">
        <v>6</v>
      </c>
      <c r="I5" s="3"/>
    </row>
    <row r="6" ht="18.0" customHeight="1">
      <c r="B6" s="13" t="s">
        <v>7</v>
      </c>
      <c r="C6" s="3"/>
      <c r="D6" s="14" t="s">
        <v>7</v>
      </c>
      <c r="E6" s="3"/>
      <c r="F6" s="15" t="s">
        <v>7</v>
      </c>
      <c r="G6" s="3"/>
      <c r="H6" s="16" t="s">
        <v>7</v>
      </c>
      <c r="I6" s="3"/>
    </row>
    <row r="7" ht="9.75" customHeight="1"/>
    <row r="8" ht="27.75" customHeight="1">
      <c r="B8" s="17" t="s">
        <v>8</v>
      </c>
      <c r="C8" s="18"/>
      <c r="D8" s="18"/>
      <c r="E8" s="18"/>
      <c r="F8" s="18"/>
      <c r="G8" s="18"/>
      <c r="H8" s="18"/>
      <c r="I8" s="19"/>
    </row>
    <row r="9" ht="9.75" customHeight="1"/>
    <row r="10" ht="27.75" customHeight="1">
      <c r="B10" s="20" t="s">
        <v>9</v>
      </c>
      <c r="C10" s="18"/>
      <c r="D10" s="18"/>
      <c r="E10" s="18"/>
      <c r="F10" s="18"/>
      <c r="G10" s="18"/>
      <c r="H10" s="18"/>
      <c r="I10" s="19"/>
    </row>
    <row r="11" ht="27.75" customHeight="1">
      <c r="B11" s="21" t="s">
        <v>10</v>
      </c>
      <c r="C11" s="22"/>
      <c r="D11" s="21" t="s">
        <v>11</v>
      </c>
      <c r="E11" s="22"/>
      <c r="F11" s="21" t="s">
        <v>12</v>
      </c>
      <c r="G11" s="18"/>
      <c r="H11" s="22"/>
      <c r="I11" s="23" t="s">
        <v>13</v>
      </c>
    </row>
    <row r="12" ht="25.5" customHeight="1">
      <c r="B12" s="24" t="s">
        <v>14</v>
      </c>
      <c r="C12" s="19"/>
      <c r="D12" s="25" t="s">
        <v>15</v>
      </c>
      <c r="E12" s="19"/>
      <c r="F12" s="25" t="s">
        <v>16</v>
      </c>
      <c r="G12" s="18"/>
      <c r="H12" s="19"/>
      <c r="I12" s="26" t="s">
        <v>17</v>
      </c>
    </row>
    <row r="13" ht="25.5" customHeight="1">
      <c r="B13" s="27" t="s">
        <v>18</v>
      </c>
      <c r="C13" s="19"/>
      <c r="D13" s="28" t="s">
        <v>19</v>
      </c>
      <c r="E13" s="19"/>
      <c r="F13" s="28" t="s">
        <v>20</v>
      </c>
      <c r="G13" s="18"/>
      <c r="H13" s="19"/>
      <c r="I13" s="29" t="s">
        <v>21</v>
      </c>
    </row>
    <row r="14" ht="25.5" customHeight="1">
      <c r="B14" s="24" t="s">
        <v>22</v>
      </c>
      <c r="C14" s="19"/>
      <c r="D14" s="25" t="s">
        <v>23</v>
      </c>
      <c r="E14" s="19"/>
      <c r="F14" s="25" t="s">
        <v>24</v>
      </c>
      <c r="G14" s="18"/>
      <c r="H14" s="19"/>
      <c r="I14" s="26" t="s">
        <v>25</v>
      </c>
    </row>
    <row r="15" ht="25.5" customHeight="1">
      <c r="B15" s="27" t="s">
        <v>26</v>
      </c>
      <c r="C15" s="19"/>
      <c r="D15" s="28" t="s">
        <v>27</v>
      </c>
      <c r="E15" s="19"/>
      <c r="F15" s="28" t="s">
        <v>28</v>
      </c>
      <c r="G15" s="18"/>
      <c r="H15" s="19"/>
      <c r="I15" s="29" t="s">
        <v>29</v>
      </c>
    </row>
    <row r="17" ht="9.75" customHeight="1"/>
    <row r="18" ht="27.75" customHeight="1">
      <c r="B18" s="30" t="s">
        <v>30</v>
      </c>
      <c r="C18" s="18"/>
      <c r="D18" s="18"/>
      <c r="E18" s="18"/>
      <c r="F18" s="18"/>
      <c r="G18" s="18"/>
      <c r="H18" s="18"/>
      <c r="I18" s="19"/>
    </row>
    <row r="19" ht="30.0" customHeight="1">
      <c r="B19" s="31" t="s">
        <v>31</v>
      </c>
      <c r="C19" s="18"/>
      <c r="D19" s="18"/>
      <c r="E19" s="19"/>
      <c r="F19" s="32" t="s">
        <v>32</v>
      </c>
      <c r="G19" s="18"/>
      <c r="H19" s="18"/>
      <c r="I19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D5:E5"/>
    <mergeCell ref="F5:G5"/>
    <mergeCell ref="B1:I1"/>
    <mergeCell ref="B2:I2"/>
    <mergeCell ref="B4:C4"/>
    <mergeCell ref="D4:E4"/>
    <mergeCell ref="F4:G4"/>
    <mergeCell ref="H4:I4"/>
    <mergeCell ref="H5:I5"/>
    <mergeCell ref="B5:C5"/>
    <mergeCell ref="B6:C6"/>
    <mergeCell ref="D6:E6"/>
    <mergeCell ref="F6:G6"/>
    <mergeCell ref="H6:I6"/>
    <mergeCell ref="B8:I8"/>
    <mergeCell ref="B10:I10"/>
    <mergeCell ref="D13:E13"/>
    <mergeCell ref="F13:H13"/>
    <mergeCell ref="B11:C11"/>
    <mergeCell ref="D11:E11"/>
    <mergeCell ref="F11:H11"/>
    <mergeCell ref="B12:C12"/>
    <mergeCell ref="D12:E12"/>
    <mergeCell ref="F12:H12"/>
    <mergeCell ref="B13:C13"/>
    <mergeCell ref="B19:E19"/>
    <mergeCell ref="F19:I19"/>
    <mergeCell ref="B14:C14"/>
    <mergeCell ref="D14:E14"/>
    <mergeCell ref="F14:H14"/>
    <mergeCell ref="B15:C15"/>
    <mergeCell ref="D15:E15"/>
    <mergeCell ref="F15:H15"/>
    <mergeCell ref="B18:I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78.71"/>
    <col customWidth="1" min="3" max="3" width="40.0"/>
    <col customWidth="1" min="4" max="4" width="22.0"/>
    <col customWidth="1" min="5" max="6" width="16.0"/>
    <col customWidth="1" min="7" max="7" width="95.71"/>
    <col customWidth="1" min="8" max="26" width="8.71"/>
  </cols>
  <sheetData>
    <row r="1" ht="45.0" customHeight="1">
      <c r="B1" s="1" t="s">
        <v>33</v>
      </c>
      <c r="C1" s="2"/>
      <c r="D1" s="2"/>
      <c r="E1" s="2"/>
      <c r="F1" s="2"/>
      <c r="G1" s="3"/>
    </row>
    <row r="3" ht="25.5" customHeight="1">
      <c r="B3" s="33" t="s">
        <v>34</v>
      </c>
      <c r="C3" s="18"/>
      <c r="D3" s="19"/>
      <c r="E3" s="34"/>
      <c r="F3" s="35"/>
      <c r="G3" s="36"/>
    </row>
    <row r="4" ht="25.5" customHeight="1">
      <c r="B4" s="37" t="s">
        <v>35</v>
      </c>
      <c r="C4" s="38"/>
      <c r="D4" s="36"/>
    </row>
    <row r="5" ht="9.75" customHeight="1"/>
    <row r="6" ht="27.75" customHeight="1">
      <c r="B6" s="23" t="s">
        <v>36</v>
      </c>
      <c r="C6" s="23" t="s">
        <v>37</v>
      </c>
      <c r="D6" s="23" t="s">
        <v>38</v>
      </c>
      <c r="E6" s="23" t="s">
        <v>39</v>
      </c>
      <c r="F6" s="23" t="s">
        <v>40</v>
      </c>
      <c r="G6" s="23" t="s">
        <v>41</v>
      </c>
    </row>
    <row r="7" ht="27.75" customHeight="1">
      <c r="B7" s="20" t="s">
        <v>42</v>
      </c>
      <c r="C7" s="18"/>
      <c r="D7" s="18"/>
      <c r="E7" s="18"/>
      <c r="F7" s="18"/>
      <c r="G7" s="19"/>
    </row>
    <row r="8" ht="25.5" customHeight="1">
      <c r="B8" s="39" t="s">
        <v>6</v>
      </c>
      <c r="C8" s="40" t="s">
        <v>43</v>
      </c>
      <c r="D8" s="41" t="s">
        <v>44</v>
      </c>
      <c r="E8" s="42" t="s">
        <v>45</v>
      </c>
      <c r="F8" s="43"/>
      <c r="G8" s="44"/>
    </row>
    <row r="9" ht="25.5" customHeight="1">
      <c r="B9" s="45" t="s">
        <v>6</v>
      </c>
      <c r="C9" s="46" t="s">
        <v>46</v>
      </c>
      <c r="D9" s="47" t="s">
        <v>44</v>
      </c>
      <c r="E9" s="48" t="s">
        <v>45</v>
      </c>
      <c r="F9" s="49"/>
      <c r="G9" s="50"/>
    </row>
    <row r="10" ht="27.75" customHeight="1">
      <c r="B10" s="20" t="s">
        <v>47</v>
      </c>
      <c r="C10" s="18"/>
      <c r="D10" s="18"/>
      <c r="E10" s="18"/>
      <c r="F10" s="18"/>
      <c r="G10" s="19"/>
    </row>
    <row r="11" ht="25.5" customHeight="1">
      <c r="B11" s="39" t="s">
        <v>6</v>
      </c>
      <c r="C11" s="40" t="s">
        <v>48</v>
      </c>
      <c r="D11" s="41" t="s">
        <v>44</v>
      </c>
      <c r="E11" s="42" t="s">
        <v>49</v>
      </c>
      <c r="F11" s="43"/>
      <c r="G11" s="44"/>
    </row>
    <row r="12" ht="25.5" customHeight="1">
      <c r="B12" s="45" t="s">
        <v>6</v>
      </c>
      <c r="C12" s="46" t="s">
        <v>50</v>
      </c>
      <c r="D12" s="47" t="s">
        <v>44</v>
      </c>
      <c r="E12" s="48" t="s">
        <v>51</v>
      </c>
      <c r="F12" s="49"/>
      <c r="G12" s="50"/>
    </row>
    <row r="13" ht="27.75" customHeight="1">
      <c r="B13" s="20" t="s">
        <v>52</v>
      </c>
      <c r="C13" s="18"/>
      <c r="D13" s="18"/>
      <c r="E13" s="18"/>
      <c r="F13" s="18"/>
      <c r="G13" s="19"/>
    </row>
    <row r="14" ht="25.5" customHeight="1">
      <c r="B14" s="39" t="s">
        <v>6</v>
      </c>
      <c r="C14" s="40" t="s">
        <v>53</v>
      </c>
      <c r="D14" s="41" t="s">
        <v>54</v>
      </c>
      <c r="E14" s="42" t="s">
        <v>55</v>
      </c>
      <c r="F14" s="43"/>
      <c r="G14" s="44"/>
    </row>
    <row r="15" ht="25.5" customHeight="1">
      <c r="B15" s="45" t="s">
        <v>6</v>
      </c>
      <c r="C15" s="46" t="s">
        <v>56</v>
      </c>
      <c r="D15" s="47" t="s">
        <v>54</v>
      </c>
      <c r="E15" s="48" t="s">
        <v>55</v>
      </c>
      <c r="F15" s="49"/>
      <c r="G15" s="50"/>
    </row>
    <row r="16" ht="27.75" customHeight="1">
      <c r="B16" s="20" t="s">
        <v>57</v>
      </c>
      <c r="C16" s="18"/>
      <c r="D16" s="18"/>
      <c r="E16" s="18"/>
      <c r="F16" s="18"/>
      <c r="G16" s="19"/>
    </row>
    <row r="17" ht="25.5" customHeight="1">
      <c r="B17" s="39" t="s">
        <v>6</v>
      </c>
      <c r="C17" s="40" t="s">
        <v>58</v>
      </c>
      <c r="D17" s="41" t="s">
        <v>44</v>
      </c>
      <c r="E17" s="42" t="s">
        <v>59</v>
      </c>
      <c r="F17" s="43"/>
      <c r="G17" s="44"/>
    </row>
    <row r="18" ht="25.5" customHeight="1">
      <c r="B18" s="45" t="s">
        <v>6</v>
      </c>
      <c r="C18" s="46" t="s">
        <v>60</v>
      </c>
      <c r="D18" s="47" t="s">
        <v>44</v>
      </c>
      <c r="E18" s="48" t="s">
        <v>61</v>
      </c>
      <c r="F18" s="49"/>
      <c r="G18" s="50"/>
    </row>
    <row r="19" ht="27.75" customHeight="1">
      <c r="B19" s="20" t="s">
        <v>62</v>
      </c>
      <c r="C19" s="18"/>
      <c r="D19" s="18"/>
      <c r="E19" s="18"/>
      <c r="F19" s="18"/>
      <c r="G19" s="19"/>
    </row>
    <row r="20" ht="25.5" customHeight="1">
      <c r="B20" s="39" t="s">
        <v>6</v>
      </c>
      <c r="C20" s="40" t="s">
        <v>63</v>
      </c>
      <c r="D20" s="41" t="s">
        <v>44</v>
      </c>
      <c r="E20" s="42" t="s">
        <v>64</v>
      </c>
      <c r="F20" s="43"/>
      <c r="G20" s="44"/>
    </row>
    <row r="21" ht="25.5" customHeight="1">
      <c r="B21" s="45" t="s">
        <v>6</v>
      </c>
      <c r="C21" s="46" t="s">
        <v>65</v>
      </c>
      <c r="D21" s="47" t="s">
        <v>44</v>
      </c>
      <c r="E21" s="48" t="s">
        <v>66</v>
      </c>
      <c r="F21" s="49"/>
      <c r="G21" s="50"/>
    </row>
    <row r="22" ht="25.5" customHeight="1">
      <c r="B22" s="39" t="s">
        <v>6</v>
      </c>
      <c r="C22" s="40" t="s">
        <v>67</v>
      </c>
      <c r="D22" s="41" t="s">
        <v>44</v>
      </c>
      <c r="E22" s="42" t="s">
        <v>66</v>
      </c>
      <c r="F22" s="43"/>
      <c r="G22" s="44"/>
    </row>
    <row r="23" ht="25.5" customHeight="1">
      <c r="B23" s="45" t="s">
        <v>6</v>
      </c>
      <c r="C23" s="46" t="s">
        <v>68</v>
      </c>
      <c r="D23" s="47" t="s">
        <v>44</v>
      </c>
      <c r="E23" s="48" t="s">
        <v>66</v>
      </c>
      <c r="F23" s="49"/>
      <c r="G23" s="50"/>
    </row>
    <row r="24" ht="25.5" customHeight="1">
      <c r="B24" s="39" t="s">
        <v>6</v>
      </c>
      <c r="C24" s="40" t="s">
        <v>69</v>
      </c>
      <c r="D24" s="41" t="s">
        <v>44</v>
      </c>
      <c r="E24" s="42" t="s">
        <v>66</v>
      </c>
      <c r="F24" s="43"/>
      <c r="G24" s="44"/>
    </row>
    <row r="25" ht="25.5" customHeight="1">
      <c r="B25" s="45" t="s">
        <v>6</v>
      </c>
      <c r="C25" s="46" t="s">
        <v>70</v>
      </c>
      <c r="D25" s="47" t="s">
        <v>44</v>
      </c>
      <c r="E25" s="48" t="s">
        <v>66</v>
      </c>
      <c r="F25" s="49"/>
      <c r="G25" s="50"/>
    </row>
    <row r="26" ht="25.5" customHeight="1">
      <c r="B26" s="39" t="s">
        <v>6</v>
      </c>
      <c r="C26" s="40" t="s">
        <v>71</v>
      </c>
      <c r="D26" s="41" t="s">
        <v>44</v>
      </c>
      <c r="E26" s="42" t="s">
        <v>66</v>
      </c>
      <c r="F26" s="43"/>
      <c r="G26" s="44"/>
    </row>
    <row r="27" ht="25.5" customHeight="1">
      <c r="B27" s="45" t="s">
        <v>6</v>
      </c>
      <c r="C27" s="46" t="s">
        <v>72</v>
      </c>
      <c r="D27" s="47" t="s">
        <v>44</v>
      </c>
      <c r="E27" s="48" t="s">
        <v>66</v>
      </c>
      <c r="F27" s="49"/>
      <c r="G27" s="50"/>
    </row>
    <row r="28" ht="25.5" customHeight="1">
      <c r="B28" s="39" t="s">
        <v>6</v>
      </c>
      <c r="C28" s="40" t="s">
        <v>73</v>
      </c>
      <c r="D28" s="41" t="s">
        <v>54</v>
      </c>
      <c r="E28" s="42" t="s">
        <v>66</v>
      </c>
      <c r="F28" s="43"/>
      <c r="G28" s="44"/>
    </row>
    <row r="29" ht="25.5" customHeight="1">
      <c r="B29" s="45" t="s">
        <v>6</v>
      </c>
      <c r="C29" s="46" t="s">
        <v>74</v>
      </c>
      <c r="D29" s="47" t="s">
        <v>44</v>
      </c>
      <c r="E29" s="48" t="s">
        <v>66</v>
      </c>
      <c r="F29" s="49"/>
      <c r="G29" s="50"/>
    </row>
    <row r="30" ht="27.75" customHeight="1">
      <c r="B30" s="20" t="s">
        <v>75</v>
      </c>
      <c r="C30" s="18"/>
      <c r="D30" s="18"/>
      <c r="E30" s="18"/>
      <c r="F30" s="18"/>
      <c r="G30" s="19"/>
    </row>
    <row r="31" ht="25.5" customHeight="1">
      <c r="B31" s="39" t="s">
        <v>6</v>
      </c>
      <c r="C31" s="40" t="s">
        <v>76</v>
      </c>
      <c r="D31" s="41" t="s">
        <v>44</v>
      </c>
      <c r="E31" s="42" t="s">
        <v>77</v>
      </c>
      <c r="F31" s="43"/>
      <c r="G31" s="44"/>
    </row>
    <row r="32" ht="25.5" customHeight="1">
      <c r="B32" s="45" t="s">
        <v>6</v>
      </c>
      <c r="C32" s="46" t="s">
        <v>78</v>
      </c>
      <c r="D32" s="47" t="s">
        <v>44</v>
      </c>
      <c r="E32" s="48" t="s">
        <v>77</v>
      </c>
      <c r="F32" s="49"/>
      <c r="G32" s="50"/>
    </row>
    <row r="33" ht="25.5" customHeight="1">
      <c r="B33" s="39" t="s">
        <v>6</v>
      </c>
      <c r="C33" s="40" t="s">
        <v>79</v>
      </c>
      <c r="D33" s="41" t="s">
        <v>44</v>
      </c>
      <c r="E33" s="42" t="s">
        <v>77</v>
      </c>
      <c r="F33" s="43"/>
      <c r="G33" s="44"/>
    </row>
    <row r="34" ht="27.75" customHeight="1">
      <c r="B34" s="20" t="s">
        <v>80</v>
      </c>
      <c r="C34" s="18"/>
      <c r="D34" s="18"/>
      <c r="E34" s="18"/>
      <c r="F34" s="18"/>
      <c r="G34" s="19"/>
    </row>
    <row r="35" ht="25.5" customHeight="1">
      <c r="B35" s="39" t="s">
        <v>6</v>
      </c>
      <c r="C35" s="40" t="s">
        <v>81</v>
      </c>
      <c r="D35" s="41" t="s">
        <v>44</v>
      </c>
      <c r="E35" s="42" t="s">
        <v>82</v>
      </c>
      <c r="F35" s="43"/>
      <c r="G35" s="44"/>
    </row>
    <row r="36" ht="27.75" customHeight="1">
      <c r="B36" s="20" t="s">
        <v>83</v>
      </c>
      <c r="C36" s="18"/>
      <c r="D36" s="18"/>
      <c r="E36" s="18"/>
      <c r="F36" s="18"/>
      <c r="G36" s="19"/>
    </row>
    <row r="37" ht="25.5" customHeight="1">
      <c r="B37" s="39" t="s">
        <v>6</v>
      </c>
      <c r="C37" s="40" t="s">
        <v>84</v>
      </c>
      <c r="D37" s="41" t="s">
        <v>54</v>
      </c>
      <c r="E37" s="42" t="s">
        <v>85</v>
      </c>
      <c r="F37" s="43"/>
      <c r="G37" s="44"/>
    </row>
    <row r="38" ht="25.5" customHeight="1">
      <c r="B38" s="45" t="s">
        <v>6</v>
      </c>
      <c r="C38" s="46" t="s">
        <v>86</v>
      </c>
      <c r="D38" s="47" t="s">
        <v>54</v>
      </c>
      <c r="E38" s="48" t="s">
        <v>85</v>
      </c>
      <c r="F38" s="49"/>
      <c r="G38" s="50"/>
    </row>
    <row r="39" ht="9.75" customHeight="1"/>
    <row r="40" ht="31.5" customHeight="1">
      <c r="B40" s="51" t="s">
        <v>87</v>
      </c>
      <c r="C40" s="2"/>
      <c r="D40" s="3"/>
      <c r="E40" s="52">
        <f>IFERROR(COUNTIF(B8:B38,"✅ Feito")/COUNTIF(B8:B38,"&lt;&gt;—"),0)</f>
        <v>0</v>
      </c>
      <c r="F40" s="35"/>
      <c r="G40" s="3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6:G16"/>
    <mergeCell ref="B19:G19"/>
    <mergeCell ref="B30:G30"/>
    <mergeCell ref="B34:G34"/>
    <mergeCell ref="B36:G36"/>
    <mergeCell ref="B40:D40"/>
    <mergeCell ref="E40:G40"/>
    <mergeCell ref="B1:G1"/>
    <mergeCell ref="B3:D3"/>
    <mergeCell ref="E3:G3"/>
    <mergeCell ref="C4:D4"/>
    <mergeCell ref="B7:G7"/>
    <mergeCell ref="B10:G10"/>
    <mergeCell ref="B13:G13"/>
  </mergeCells>
  <dataValidations>
    <dataValidation type="list" allowBlank="1" sqref="B8:B9 B11:B12 B14:B15 B17:B18 B20:B29 B31:B33 B35 B37:B38">
      <formula1>"✅ Feito,⏳ Em andamento,❌ Pendente,—"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24.0"/>
    <col customWidth="1" min="3" max="3" width="20.0"/>
    <col customWidth="1" min="4" max="4" width="18.0"/>
    <col customWidth="1" min="5" max="5" width="20.0"/>
    <col customWidth="1" min="6" max="6" width="15.0"/>
    <col customWidth="1" min="7" max="7" width="20.0"/>
    <col customWidth="1" min="8" max="8" width="16.0"/>
    <col customWidth="1" min="9" max="9" width="24.0"/>
    <col customWidth="1" min="10" max="26" width="8.71"/>
  </cols>
  <sheetData>
    <row r="1" ht="45.0" customHeight="1">
      <c r="B1" s="1" t="s">
        <v>88</v>
      </c>
      <c r="C1" s="2"/>
      <c r="D1" s="2"/>
      <c r="E1" s="2"/>
      <c r="F1" s="2"/>
      <c r="G1" s="2"/>
      <c r="H1" s="2"/>
      <c r="I1" s="3"/>
    </row>
    <row r="2" ht="9.75" customHeight="1"/>
    <row r="3" ht="27.75" customHeight="1">
      <c r="B3" s="23" t="s">
        <v>89</v>
      </c>
      <c r="C3" s="23" t="s">
        <v>90</v>
      </c>
      <c r="D3" s="23" t="s">
        <v>91</v>
      </c>
      <c r="E3" s="23" t="s">
        <v>36</v>
      </c>
      <c r="F3" s="23" t="s">
        <v>92</v>
      </c>
      <c r="G3" s="23" t="s">
        <v>38</v>
      </c>
      <c r="H3" s="23" t="s">
        <v>93</v>
      </c>
      <c r="I3" s="23" t="s">
        <v>94</v>
      </c>
    </row>
    <row r="4" ht="24.0" customHeight="1">
      <c r="B4" s="53"/>
      <c r="C4" s="53"/>
      <c r="D4" s="53"/>
      <c r="E4" s="53"/>
      <c r="F4" s="53"/>
      <c r="G4" s="53"/>
      <c r="H4" s="54"/>
      <c r="I4" s="53"/>
    </row>
    <row r="5" ht="24.0" customHeight="1">
      <c r="B5" s="55"/>
      <c r="C5" s="55"/>
      <c r="D5" s="55"/>
      <c r="E5" s="55"/>
      <c r="F5" s="55"/>
      <c r="G5" s="55"/>
      <c r="H5" s="56"/>
      <c r="I5" s="55"/>
    </row>
    <row r="6" ht="24.0" customHeight="1">
      <c r="B6" s="53"/>
      <c r="C6" s="53"/>
      <c r="D6" s="53"/>
      <c r="E6" s="53"/>
      <c r="F6" s="53"/>
      <c r="G6" s="53"/>
      <c r="H6" s="54"/>
      <c r="I6" s="53"/>
    </row>
    <row r="7" ht="24.0" customHeight="1">
      <c r="B7" s="55"/>
      <c r="C7" s="55"/>
      <c r="D7" s="55"/>
      <c r="E7" s="55"/>
      <c r="F7" s="55"/>
      <c r="G7" s="55"/>
      <c r="H7" s="56"/>
      <c r="I7" s="55"/>
    </row>
    <row r="8" ht="24.0" customHeight="1">
      <c r="B8" s="53"/>
      <c r="C8" s="53"/>
      <c r="D8" s="53"/>
      <c r="E8" s="53"/>
      <c r="F8" s="53"/>
      <c r="G8" s="53"/>
      <c r="H8" s="54"/>
      <c r="I8" s="53"/>
    </row>
    <row r="9" ht="24.0" customHeight="1">
      <c r="B9" s="55"/>
      <c r="C9" s="55"/>
      <c r="D9" s="55"/>
      <c r="E9" s="55"/>
      <c r="F9" s="55"/>
      <c r="G9" s="55"/>
      <c r="H9" s="56"/>
      <c r="I9" s="55"/>
    </row>
    <row r="10" ht="24.0" customHeight="1">
      <c r="B10" s="53"/>
      <c r="C10" s="53"/>
      <c r="D10" s="53"/>
      <c r="E10" s="53"/>
      <c r="F10" s="53"/>
      <c r="G10" s="53"/>
      <c r="H10" s="54"/>
      <c r="I10" s="53"/>
    </row>
    <row r="11" ht="24.0" customHeight="1">
      <c r="B11" s="55"/>
      <c r="C11" s="55"/>
      <c r="D11" s="55"/>
      <c r="E11" s="55"/>
      <c r="F11" s="55"/>
      <c r="G11" s="55"/>
      <c r="H11" s="56"/>
      <c r="I11" s="55"/>
    </row>
    <row r="12" ht="24.0" customHeight="1">
      <c r="B12" s="53"/>
      <c r="C12" s="53"/>
      <c r="D12" s="53"/>
      <c r="E12" s="53"/>
      <c r="F12" s="53"/>
      <c r="G12" s="53"/>
      <c r="H12" s="54"/>
      <c r="I12" s="53"/>
    </row>
    <row r="13" ht="24.0" customHeight="1">
      <c r="B13" s="55"/>
      <c r="C13" s="55"/>
      <c r="D13" s="55"/>
      <c r="E13" s="55"/>
      <c r="F13" s="55"/>
      <c r="G13" s="55"/>
      <c r="H13" s="56"/>
      <c r="I13" s="55"/>
    </row>
    <row r="14" ht="24.0" customHeight="1">
      <c r="B14" s="53"/>
      <c r="C14" s="53"/>
      <c r="D14" s="53"/>
      <c r="E14" s="53"/>
      <c r="F14" s="53"/>
      <c r="G14" s="53"/>
      <c r="H14" s="54"/>
      <c r="I14" s="53"/>
    </row>
    <row r="15" ht="24.0" customHeight="1">
      <c r="B15" s="55"/>
      <c r="C15" s="55"/>
      <c r="D15" s="55"/>
      <c r="E15" s="55"/>
      <c r="F15" s="55"/>
      <c r="G15" s="55"/>
      <c r="H15" s="56"/>
      <c r="I15" s="55"/>
    </row>
    <row r="16" ht="24.0" customHeight="1">
      <c r="B16" s="53"/>
      <c r="C16" s="53"/>
      <c r="D16" s="53"/>
      <c r="E16" s="53"/>
      <c r="F16" s="53"/>
      <c r="G16" s="53"/>
      <c r="H16" s="54"/>
      <c r="I16" s="53"/>
    </row>
    <row r="17" ht="24.0" customHeight="1">
      <c r="B17" s="55"/>
      <c r="C17" s="55"/>
      <c r="D17" s="55"/>
      <c r="E17" s="55"/>
      <c r="F17" s="55"/>
      <c r="G17" s="55"/>
      <c r="H17" s="56"/>
      <c r="I17" s="55"/>
    </row>
    <row r="18" ht="24.0" customHeight="1">
      <c r="B18" s="53"/>
      <c r="C18" s="53"/>
      <c r="D18" s="53"/>
      <c r="E18" s="53"/>
      <c r="F18" s="53"/>
      <c r="G18" s="53"/>
      <c r="H18" s="54"/>
      <c r="I18" s="53"/>
    </row>
    <row r="19" ht="24.0" customHeight="1">
      <c r="B19" s="55"/>
      <c r="C19" s="55"/>
      <c r="D19" s="55"/>
      <c r="E19" s="55"/>
      <c r="F19" s="55"/>
      <c r="G19" s="55"/>
      <c r="H19" s="56"/>
      <c r="I19" s="55"/>
    </row>
    <row r="20" ht="24.0" customHeight="1">
      <c r="B20" s="53"/>
      <c r="C20" s="53"/>
      <c r="D20" s="53"/>
      <c r="E20" s="53"/>
      <c r="F20" s="53"/>
      <c r="G20" s="53"/>
      <c r="H20" s="54"/>
      <c r="I20" s="53"/>
    </row>
    <row r="21" ht="24.0" customHeight="1">
      <c r="B21" s="55"/>
      <c r="C21" s="55"/>
      <c r="D21" s="55"/>
      <c r="E21" s="55"/>
      <c r="F21" s="55"/>
      <c r="G21" s="55"/>
      <c r="H21" s="56"/>
      <c r="I21" s="55"/>
    </row>
    <row r="22" ht="24.0" customHeight="1">
      <c r="B22" s="53"/>
      <c r="C22" s="53"/>
      <c r="D22" s="53"/>
      <c r="E22" s="53"/>
      <c r="F22" s="53"/>
      <c r="G22" s="53"/>
      <c r="H22" s="54"/>
      <c r="I22" s="53"/>
    </row>
    <row r="23" ht="24.0" customHeight="1">
      <c r="B23" s="55"/>
      <c r="C23" s="55"/>
      <c r="D23" s="55"/>
      <c r="E23" s="55"/>
      <c r="F23" s="55"/>
      <c r="G23" s="55"/>
      <c r="H23" s="56"/>
      <c r="I23" s="55"/>
    </row>
    <row r="24" ht="24.0" customHeight="1">
      <c r="B24" s="53"/>
      <c r="C24" s="53"/>
      <c r="D24" s="53"/>
      <c r="E24" s="53"/>
      <c r="F24" s="53"/>
      <c r="G24" s="53"/>
      <c r="H24" s="54"/>
      <c r="I24" s="53"/>
    </row>
    <row r="25" ht="24.0" customHeight="1">
      <c r="B25" s="55"/>
      <c r="C25" s="55"/>
      <c r="D25" s="55"/>
      <c r="E25" s="55"/>
      <c r="F25" s="55"/>
      <c r="G25" s="55"/>
      <c r="H25" s="56"/>
      <c r="I25" s="55"/>
    </row>
    <row r="26" ht="24.0" customHeight="1">
      <c r="B26" s="53"/>
      <c r="C26" s="53"/>
      <c r="D26" s="53"/>
      <c r="E26" s="53"/>
      <c r="F26" s="53"/>
      <c r="G26" s="53"/>
      <c r="H26" s="54"/>
      <c r="I26" s="53"/>
    </row>
    <row r="27" ht="24.0" customHeight="1">
      <c r="B27" s="55"/>
      <c r="C27" s="55"/>
      <c r="D27" s="55"/>
      <c r="E27" s="55"/>
      <c r="F27" s="55"/>
      <c r="G27" s="55"/>
      <c r="H27" s="56"/>
      <c r="I27" s="55"/>
    </row>
    <row r="28" ht="24.0" customHeight="1">
      <c r="B28" s="53"/>
      <c r="C28" s="53"/>
      <c r="D28" s="53"/>
      <c r="E28" s="53"/>
      <c r="F28" s="53"/>
      <c r="G28" s="53"/>
      <c r="H28" s="54"/>
      <c r="I28" s="53"/>
    </row>
    <row r="29" ht="24.0" customHeight="1">
      <c r="B29" s="55"/>
      <c r="C29" s="55"/>
      <c r="D29" s="55"/>
      <c r="E29" s="55"/>
      <c r="F29" s="55"/>
      <c r="G29" s="55"/>
      <c r="H29" s="56"/>
      <c r="I29" s="55"/>
    </row>
    <row r="30" ht="24.0" customHeight="1">
      <c r="B30" s="53"/>
      <c r="C30" s="53"/>
      <c r="D30" s="53"/>
      <c r="E30" s="53"/>
      <c r="F30" s="53"/>
      <c r="G30" s="53"/>
      <c r="H30" s="54"/>
      <c r="I30" s="53"/>
    </row>
    <row r="31" ht="24.0" customHeight="1">
      <c r="B31" s="55"/>
      <c r="C31" s="55"/>
      <c r="D31" s="55"/>
      <c r="E31" s="55"/>
      <c r="F31" s="55"/>
      <c r="G31" s="55"/>
      <c r="H31" s="56"/>
      <c r="I31" s="55"/>
    </row>
    <row r="32" ht="24.0" customHeight="1">
      <c r="B32" s="53"/>
      <c r="C32" s="53"/>
      <c r="D32" s="53"/>
      <c r="E32" s="53"/>
      <c r="F32" s="53"/>
      <c r="G32" s="53"/>
      <c r="H32" s="54"/>
      <c r="I32" s="53"/>
    </row>
    <row r="33" ht="24.0" customHeight="1">
      <c r="B33" s="55"/>
      <c r="C33" s="55"/>
      <c r="D33" s="55"/>
      <c r="E33" s="55"/>
      <c r="F33" s="55"/>
      <c r="G33" s="55"/>
      <c r="H33" s="56"/>
      <c r="I33" s="55"/>
    </row>
    <row r="34" ht="24.0" customHeight="1">
      <c r="B34" s="53"/>
      <c r="C34" s="53"/>
      <c r="D34" s="53"/>
      <c r="E34" s="53"/>
      <c r="F34" s="53"/>
      <c r="G34" s="53"/>
      <c r="H34" s="54"/>
      <c r="I34" s="53"/>
    </row>
    <row r="35" ht="24.0" customHeight="1">
      <c r="B35" s="55"/>
      <c r="C35" s="55"/>
      <c r="D35" s="55"/>
      <c r="E35" s="55"/>
      <c r="F35" s="55"/>
      <c r="G35" s="55"/>
      <c r="H35" s="56"/>
      <c r="I35" s="55"/>
    </row>
    <row r="36" ht="24.0" customHeight="1">
      <c r="B36" s="53"/>
      <c r="C36" s="53"/>
      <c r="D36" s="53"/>
      <c r="E36" s="53"/>
      <c r="F36" s="53"/>
      <c r="G36" s="53"/>
      <c r="H36" s="54"/>
      <c r="I36" s="53"/>
    </row>
    <row r="37" ht="24.0" customHeight="1">
      <c r="B37" s="55"/>
      <c r="C37" s="55"/>
      <c r="D37" s="55"/>
      <c r="E37" s="55"/>
      <c r="F37" s="55"/>
      <c r="G37" s="55"/>
      <c r="H37" s="56"/>
      <c r="I37" s="55"/>
    </row>
    <row r="38" ht="24.0" customHeight="1">
      <c r="B38" s="53"/>
      <c r="C38" s="53"/>
      <c r="D38" s="53"/>
      <c r="E38" s="53"/>
      <c r="F38" s="53"/>
      <c r="G38" s="53"/>
      <c r="H38" s="54"/>
      <c r="I38" s="53"/>
    </row>
    <row r="39" ht="24.0" customHeight="1">
      <c r="B39" s="55"/>
      <c r="C39" s="55"/>
      <c r="D39" s="55"/>
      <c r="E39" s="55"/>
      <c r="F39" s="55"/>
      <c r="G39" s="55"/>
      <c r="H39" s="56"/>
      <c r="I39" s="55"/>
    </row>
    <row r="40" ht="24.0" customHeight="1">
      <c r="B40" s="53"/>
      <c r="C40" s="53"/>
      <c r="D40" s="53"/>
      <c r="E40" s="53"/>
      <c r="F40" s="53"/>
      <c r="G40" s="53"/>
      <c r="H40" s="54"/>
      <c r="I40" s="53"/>
    </row>
    <row r="41" ht="24.0" customHeight="1">
      <c r="B41" s="55"/>
      <c r="C41" s="55"/>
      <c r="D41" s="55"/>
      <c r="E41" s="55"/>
      <c r="F41" s="55"/>
      <c r="G41" s="55"/>
      <c r="H41" s="56"/>
      <c r="I41" s="55"/>
    </row>
    <row r="42" ht="24.0" customHeight="1">
      <c r="B42" s="53"/>
      <c r="C42" s="53"/>
      <c r="D42" s="53"/>
      <c r="E42" s="53"/>
      <c r="F42" s="53"/>
      <c r="G42" s="53"/>
      <c r="H42" s="54"/>
      <c r="I42" s="53"/>
    </row>
    <row r="43" ht="24.0" customHeight="1">
      <c r="B43" s="55"/>
      <c r="C43" s="55"/>
      <c r="D43" s="55"/>
      <c r="E43" s="55"/>
      <c r="F43" s="55"/>
      <c r="G43" s="55"/>
      <c r="H43" s="56"/>
      <c r="I43" s="55"/>
    </row>
    <row r="44" ht="24.0" customHeight="1">
      <c r="B44" s="53"/>
      <c r="C44" s="53"/>
      <c r="D44" s="53"/>
      <c r="E44" s="53"/>
      <c r="F44" s="53"/>
      <c r="G44" s="53"/>
      <c r="H44" s="54"/>
      <c r="I44" s="53"/>
    </row>
    <row r="45" ht="24.0" customHeight="1">
      <c r="B45" s="55"/>
      <c r="C45" s="55"/>
      <c r="D45" s="55"/>
      <c r="E45" s="55"/>
      <c r="F45" s="55"/>
      <c r="G45" s="55"/>
      <c r="H45" s="56"/>
      <c r="I45" s="55"/>
    </row>
    <row r="46" ht="24.0" customHeight="1">
      <c r="B46" s="53"/>
      <c r="C46" s="53"/>
      <c r="D46" s="53"/>
      <c r="E46" s="53"/>
      <c r="F46" s="53"/>
      <c r="G46" s="53"/>
      <c r="H46" s="54"/>
      <c r="I46" s="53"/>
    </row>
    <row r="47" ht="24.0" customHeight="1">
      <c r="B47" s="55"/>
      <c r="C47" s="55"/>
      <c r="D47" s="55"/>
      <c r="E47" s="55"/>
      <c r="F47" s="55"/>
      <c r="G47" s="55"/>
      <c r="H47" s="56"/>
      <c r="I47" s="55"/>
    </row>
    <row r="48" ht="24.0" customHeight="1">
      <c r="B48" s="53"/>
      <c r="C48" s="53"/>
      <c r="D48" s="53"/>
      <c r="E48" s="53"/>
      <c r="F48" s="53"/>
      <c r="G48" s="53"/>
      <c r="H48" s="54"/>
      <c r="I48" s="53"/>
    </row>
    <row r="49" ht="24.0" customHeight="1">
      <c r="B49" s="55"/>
      <c r="C49" s="55"/>
      <c r="D49" s="55"/>
      <c r="E49" s="55"/>
      <c r="F49" s="55"/>
      <c r="G49" s="55"/>
      <c r="H49" s="56"/>
      <c r="I49" s="55"/>
    </row>
    <row r="50" ht="24.0" customHeight="1">
      <c r="B50" s="53"/>
      <c r="C50" s="53"/>
      <c r="D50" s="53"/>
      <c r="E50" s="53"/>
      <c r="F50" s="53"/>
      <c r="G50" s="53"/>
      <c r="H50" s="54"/>
      <c r="I50" s="53"/>
    </row>
    <row r="51" ht="24.0" customHeight="1">
      <c r="B51" s="55"/>
      <c r="C51" s="55"/>
      <c r="D51" s="55"/>
      <c r="E51" s="55"/>
      <c r="F51" s="55"/>
      <c r="G51" s="55"/>
      <c r="H51" s="56"/>
      <c r="I51" s="55"/>
    </row>
    <row r="52" ht="24.0" customHeight="1">
      <c r="B52" s="53"/>
      <c r="C52" s="53"/>
      <c r="D52" s="53"/>
      <c r="E52" s="53"/>
      <c r="F52" s="53"/>
      <c r="G52" s="53"/>
      <c r="H52" s="54"/>
      <c r="I52" s="53"/>
    </row>
    <row r="53" ht="24.0" customHeight="1">
      <c r="B53" s="55"/>
      <c r="C53" s="55"/>
      <c r="D53" s="55"/>
      <c r="E53" s="55"/>
      <c r="F53" s="55"/>
      <c r="G53" s="55"/>
      <c r="H53" s="56"/>
      <c r="I53" s="5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I1"/>
  </mergeCells>
  <dataValidations>
    <dataValidation type="list" allowBlank="1" sqref="E4:E53">
      <formula1>"Ativo,Em Negociacao,Descartado,Em Avaliacao"</formula1>
    </dataValidation>
    <dataValidation type="list" allowBlank="1" sqref="D4:D53">
      <formula1>"Indicacao,Prospeccao,Contato Direto,Redes Sociais,Outro"</formula1>
    </dataValidation>
    <dataValidation type="list" allowBlank="1" sqref="F4:F53">
      <formula1>"Sim,Nao,Pendente"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3" width="20.0"/>
    <col customWidth="1" min="4" max="4" width="22.0"/>
    <col customWidth="1" min="5" max="6" width="18.0"/>
    <col customWidth="1" min="7" max="7" width="22.0"/>
    <col customWidth="1" min="8" max="8" width="14.0"/>
    <col customWidth="1" min="9" max="9" width="16.0"/>
    <col customWidth="1" min="10" max="10" width="22.0"/>
    <col customWidth="1" min="11" max="26" width="8.71"/>
  </cols>
  <sheetData>
    <row r="1" ht="45.0" customHeight="1">
      <c r="B1" s="1" t="s">
        <v>95</v>
      </c>
      <c r="C1" s="2"/>
      <c r="D1" s="2"/>
      <c r="E1" s="2"/>
      <c r="F1" s="2"/>
      <c r="G1" s="2"/>
      <c r="H1" s="2"/>
      <c r="I1" s="2"/>
      <c r="J1" s="3"/>
    </row>
    <row r="2" ht="9.75" customHeight="1"/>
    <row r="3" ht="27.75" customHeight="1">
      <c r="B3" s="23" t="s">
        <v>96</v>
      </c>
      <c r="C3" s="23" t="s">
        <v>97</v>
      </c>
      <c r="D3" s="23" t="s">
        <v>98</v>
      </c>
      <c r="E3" s="23" t="s">
        <v>99</v>
      </c>
      <c r="F3" s="23" t="s">
        <v>100</v>
      </c>
      <c r="G3" s="23" t="s">
        <v>36</v>
      </c>
      <c r="H3" s="23" t="s">
        <v>101</v>
      </c>
      <c r="I3" s="23" t="s">
        <v>102</v>
      </c>
      <c r="J3" s="23" t="s">
        <v>103</v>
      </c>
    </row>
    <row r="4" ht="24.0" customHeight="1">
      <c r="B4" s="53"/>
      <c r="C4" s="53"/>
      <c r="D4" s="53"/>
      <c r="E4" s="53"/>
      <c r="F4" s="53"/>
      <c r="G4" s="53"/>
      <c r="H4" s="57" t="str">
        <f t="shared" ref="H4:H63" si="1">IF(F4="Viezes (20%)",20%,IF(F4="Assessorado (10%)",10%,""))</f>
        <v/>
      </c>
      <c r="I4" s="58"/>
      <c r="J4" s="53"/>
    </row>
    <row r="5" ht="24.0" customHeight="1">
      <c r="B5" s="55"/>
      <c r="C5" s="55"/>
      <c r="D5" s="55"/>
      <c r="E5" s="55"/>
      <c r="F5" s="55"/>
      <c r="G5" s="55"/>
      <c r="H5" s="59" t="str">
        <f t="shared" si="1"/>
        <v/>
      </c>
      <c r="I5" s="60"/>
      <c r="J5" s="55"/>
    </row>
    <row r="6" ht="24.0" customHeight="1">
      <c r="B6" s="53"/>
      <c r="C6" s="53"/>
      <c r="D6" s="53"/>
      <c r="E6" s="53"/>
      <c r="F6" s="53"/>
      <c r="G6" s="53"/>
      <c r="H6" s="57" t="str">
        <f t="shared" si="1"/>
        <v/>
      </c>
      <c r="I6" s="58"/>
      <c r="J6" s="53"/>
    </row>
    <row r="7" ht="24.0" customHeight="1">
      <c r="B7" s="55"/>
      <c r="C7" s="55"/>
      <c r="D7" s="55"/>
      <c r="E7" s="55"/>
      <c r="F7" s="55"/>
      <c r="G7" s="55"/>
      <c r="H7" s="59" t="str">
        <f t="shared" si="1"/>
        <v/>
      </c>
      <c r="I7" s="60"/>
      <c r="J7" s="55"/>
    </row>
    <row r="8" ht="24.0" customHeight="1">
      <c r="B8" s="53"/>
      <c r="C8" s="53"/>
      <c r="D8" s="53"/>
      <c r="E8" s="53"/>
      <c r="F8" s="53"/>
      <c r="G8" s="53"/>
      <c r="H8" s="57" t="str">
        <f t="shared" si="1"/>
        <v/>
      </c>
      <c r="I8" s="58"/>
      <c r="J8" s="53"/>
    </row>
    <row r="9" ht="24.0" customHeight="1">
      <c r="B9" s="55"/>
      <c r="C9" s="55"/>
      <c r="D9" s="55"/>
      <c r="E9" s="55"/>
      <c r="F9" s="55"/>
      <c r="G9" s="55"/>
      <c r="H9" s="59" t="str">
        <f t="shared" si="1"/>
        <v/>
      </c>
      <c r="I9" s="60"/>
      <c r="J9" s="55"/>
    </row>
    <row r="10" ht="24.0" customHeight="1">
      <c r="B10" s="53"/>
      <c r="C10" s="53"/>
      <c r="D10" s="53"/>
      <c r="E10" s="53"/>
      <c r="F10" s="53"/>
      <c r="G10" s="53"/>
      <c r="H10" s="57" t="str">
        <f t="shared" si="1"/>
        <v/>
      </c>
      <c r="I10" s="58"/>
      <c r="J10" s="53"/>
    </row>
    <row r="11" ht="24.0" customHeight="1">
      <c r="B11" s="55"/>
      <c r="C11" s="55"/>
      <c r="D11" s="55"/>
      <c r="E11" s="55"/>
      <c r="F11" s="55"/>
      <c r="G11" s="55"/>
      <c r="H11" s="59" t="str">
        <f t="shared" si="1"/>
        <v/>
      </c>
      <c r="I11" s="60"/>
      <c r="J11" s="55"/>
    </row>
    <row r="12" ht="24.0" customHeight="1">
      <c r="B12" s="53"/>
      <c r="C12" s="53"/>
      <c r="D12" s="53"/>
      <c r="E12" s="53"/>
      <c r="F12" s="53"/>
      <c r="G12" s="53"/>
      <c r="H12" s="57" t="str">
        <f t="shared" si="1"/>
        <v/>
      </c>
      <c r="I12" s="58"/>
      <c r="J12" s="53"/>
    </row>
    <row r="13" ht="24.0" customHeight="1">
      <c r="B13" s="55"/>
      <c r="C13" s="55"/>
      <c r="D13" s="55"/>
      <c r="E13" s="55"/>
      <c r="F13" s="55"/>
      <c r="G13" s="55"/>
      <c r="H13" s="59" t="str">
        <f t="shared" si="1"/>
        <v/>
      </c>
      <c r="I13" s="60"/>
      <c r="J13" s="55"/>
    </row>
    <row r="14" ht="24.0" customHeight="1">
      <c r="B14" s="53"/>
      <c r="C14" s="53"/>
      <c r="D14" s="53"/>
      <c r="E14" s="53"/>
      <c r="F14" s="53"/>
      <c r="G14" s="53"/>
      <c r="H14" s="57" t="str">
        <f t="shared" si="1"/>
        <v/>
      </c>
      <c r="I14" s="58"/>
      <c r="J14" s="53"/>
    </row>
    <row r="15" ht="24.0" customHeight="1">
      <c r="B15" s="55"/>
      <c r="C15" s="55"/>
      <c r="D15" s="55"/>
      <c r="E15" s="55"/>
      <c r="F15" s="55"/>
      <c r="G15" s="55"/>
      <c r="H15" s="59" t="str">
        <f t="shared" si="1"/>
        <v/>
      </c>
      <c r="I15" s="60"/>
      <c r="J15" s="55"/>
    </row>
    <row r="16" ht="24.0" customHeight="1">
      <c r="B16" s="53"/>
      <c r="C16" s="53"/>
      <c r="D16" s="53"/>
      <c r="E16" s="53"/>
      <c r="F16" s="53"/>
      <c r="G16" s="53"/>
      <c r="H16" s="57" t="str">
        <f t="shared" si="1"/>
        <v/>
      </c>
      <c r="I16" s="58"/>
      <c r="J16" s="53"/>
    </row>
    <row r="17" ht="24.0" customHeight="1">
      <c r="B17" s="55"/>
      <c r="C17" s="55"/>
      <c r="D17" s="55"/>
      <c r="E17" s="55"/>
      <c r="F17" s="55"/>
      <c r="G17" s="55"/>
      <c r="H17" s="59" t="str">
        <f t="shared" si="1"/>
        <v/>
      </c>
      <c r="I17" s="60"/>
      <c r="J17" s="55"/>
    </row>
    <row r="18" ht="24.0" customHeight="1">
      <c r="B18" s="53"/>
      <c r="C18" s="53"/>
      <c r="D18" s="53"/>
      <c r="E18" s="53"/>
      <c r="F18" s="53"/>
      <c r="G18" s="53"/>
      <c r="H18" s="57" t="str">
        <f t="shared" si="1"/>
        <v/>
      </c>
      <c r="I18" s="58"/>
      <c r="J18" s="53"/>
    </row>
    <row r="19" ht="24.0" customHeight="1">
      <c r="B19" s="55"/>
      <c r="C19" s="55"/>
      <c r="D19" s="55"/>
      <c r="E19" s="55"/>
      <c r="F19" s="55"/>
      <c r="G19" s="55"/>
      <c r="H19" s="59" t="str">
        <f t="shared" si="1"/>
        <v/>
      </c>
      <c r="I19" s="60"/>
      <c r="J19" s="55"/>
    </row>
    <row r="20" ht="24.0" customHeight="1">
      <c r="B20" s="53"/>
      <c r="C20" s="53"/>
      <c r="D20" s="53"/>
      <c r="E20" s="53"/>
      <c r="F20" s="53"/>
      <c r="G20" s="53"/>
      <c r="H20" s="57" t="str">
        <f t="shared" si="1"/>
        <v/>
      </c>
      <c r="I20" s="58"/>
      <c r="J20" s="53"/>
    </row>
    <row r="21" ht="24.0" customHeight="1">
      <c r="B21" s="55"/>
      <c r="C21" s="55"/>
      <c r="D21" s="55"/>
      <c r="E21" s="55"/>
      <c r="F21" s="55"/>
      <c r="G21" s="55"/>
      <c r="H21" s="59" t="str">
        <f t="shared" si="1"/>
        <v/>
      </c>
      <c r="I21" s="60"/>
      <c r="J21" s="55"/>
    </row>
    <row r="22" ht="24.0" customHeight="1">
      <c r="B22" s="53"/>
      <c r="C22" s="53"/>
      <c r="D22" s="53"/>
      <c r="E22" s="53"/>
      <c r="F22" s="53"/>
      <c r="G22" s="53"/>
      <c r="H22" s="57" t="str">
        <f t="shared" si="1"/>
        <v/>
      </c>
      <c r="I22" s="58"/>
      <c r="J22" s="53"/>
    </row>
    <row r="23" ht="24.0" customHeight="1">
      <c r="B23" s="55"/>
      <c r="C23" s="55"/>
      <c r="D23" s="55"/>
      <c r="E23" s="55"/>
      <c r="F23" s="55"/>
      <c r="G23" s="55"/>
      <c r="H23" s="59" t="str">
        <f t="shared" si="1"/>
        <v/>
      </c>
      <c r="I23" s="60"/>
      <c r="J23" s="55"/>
    </row>
    <row r="24" ht="24.0" customHeight="1">
      <c r="B24" s="53"/>
      <c r="C24" s="53"/>
      <c r="D24" s="53"/>
      <c r="E24" s="53"/>
      <c r="F24" s="53"/>
      <c r="G24" s="53"/>
      <c r="H24" s="57" t="str">
        <f t="shared" si="1"/>
        <v/>
      </c>
      <c r="I24" s="58"/>
      <c r="J24" s="53"/>
    </row>
    <row r="25" ht="24.0" customHeight="1">
      <c r="B25" s="55"/>
      <c r="C25" s="55"/>
      <c r="D25" s="55"/>
      <c r="E25" s="55"/>
      <c r="F25" s="55"/>
      <c r="G25" s="55"/>
      <c r="H25" s="59" t="str">
        <f t="shared" si="1"/>
        <v/>
      </c>
      <c r="I25" s="60"/>
      <c r="J25" s="55"/>
    </row>
    <row r="26" ht="24.0" customHeight="1">
      <c r="B26" s="53"/>
      <c r="C26" s="53"/>
      <c r="D26" s="53"/>
      <c r="E26" s="53"/>
      <c r="F26" s="53"/>
      <c r="G26" s="53"/>
      <c r="H26" s="57" t="str">
        <f t="shared" si="1"/>
        <v/>
      </c>
      <c r="I26" s="58"/>
      <c r="J26" s="53"/>
    </row>
    <row r="27" ht="24.0" customHeight="1">
      <c r="B27" s="55"/>
      <c r="C27" s="55"/>
      <c r="D27" s="55"/>
      <c r="E27" s="55"/>
      <c r="F27" s="55"/>
      <c r="G27" s="55"/>
      <c r="H27" s="59" t="str">
        <f t="shared" si="1"/>
        <v/>
      </c>
      <c r="I27" s="60"/>
      <c r="J27" s="55"/>
    </row>
    <row r="28" ht="24.0" customHeight="1">
      <c r="B28" s="53"/>
      <c r="C28" s="53"/>
      <c r="D28" s="53"/>
      <c r="E28" s="53"/>
      <c r="F28" s="53"/>
      <c r="G28" s="53"/>
      <c r="H28" s="57" t="str">
        <f t="shared" si="1"/>
        <v/>
      </c>
      <c r="I28" s="58"/>
      <c r="J28" s="53"/>
    </row>
    <row r="29" ht="24.0" customHeight="1">
      <c r="B29" s="55"/>
      <c r="C29" s="55"/>
      <c r="D29" s="55"/>
      <c r="E29" s="55"/>
      <c r="F29" s="55"/>
      <c r="G29" s="55"/>
      <c r="H29" s="59" t="str">
        <f t="shared" si="1"/>
        <v/>
      </c>
      <c r="I29" s="60"/>
      <c r="J29" s="55"/>
    </row>
    <row r="30" ht="24.0" customHeight="1">
      <c r="B30" s="53"/>
      <c r="C30" s="53"/>
      <c r="D30" s="53"/>
      <c r="E30" s="53"/>
      <c r="F30" s="53"/>
      <c r="G30" s="53"/>
      <c r="H30" s="57" t="str">
        <f t="shared" si="1"/>
        <v/>
      </c>
      <c r="I30" s="58"/>
      <c r="J30" s="53"/>
    </row>
    <row r="31" ht="24.0" customHeight="1">
      <c r="B31" s="55"/>
      <c r="C31" s="55"/>
      <c r="D31" s="55"/>
      <c r="E31" s="55"/>
      <c r="F31" s="55"/>
      <c r="G31" s="55"/>
      <c r="H31" s="59" t="str">
        <f t="shared" si="1"/>
        <v/>
      </c>
      <c r="I31" s="60"/>
      <c r="J31" s="55"/>
    </row>
    <row r="32" ht="24.0" customHeight="1">
      <c r="B32" s="53"/>
      <c r="C32" s="53"/>
      <c r="D32" s="53"/>
      <c r="E32" s="53"/>
      <c r="F32" s="53"/>
      <c r="G32" s="53"/>
      <c r="H32" s="57" t="str">
        <f t="shared" si="1"/>
        <v/>
      </c>
      <c r="I32" s="58"/>
      <c r="J32" s="53"/>
    </row>
    <row r="33" ht="24.0" customHeight="1">
      <c r="B33" s="55"/>
      <c r="C33" s="55"/>
      <c r="D33" s="55"/>
      <c r="E33" s="55"/>
      <c r="F33" s="55"/>
      <c r="G33" s="55"/>
      <c r="H33" s="59" t="str">
        <f t="shared" si="1"/>
        <v/>
      </c>
      <c r="I33" s="60"/>
      <c r="J33" s="55"/>
    </row>
    <row r="34" ht="24.0" customHeight="1">
      <c r="B34" s="53"/>
      <c r="C34" s="53"/>
      <c r="D34" s="53"/>
      <c r="E34" s="53"/>
      <c r="F34" s="53"/>
      <c r="G34" s="53"/>
      <c r="H34" s="57" t="str">
        <f t="shared" si="1"/>
        <v/>
      </c>
      <c r="I34" s="58"/>
      <c r="J34" s="53"/>
    </row>
    <row r="35" ht="24.0" customHeight="1">
      <c r="B35" s="55"/>
      <c r="C35" s="55"/>
      <c r="D35" s="55"/>
      <c r="E35" s="55"/>
      <c r="F35" s="55"/>
      <c r="G35" s="55"/>
      <c r="H35" s="59" t="str">
        <f t="shared" si="1"/>
        <v/>
      </c>
      <c r="I35" s="60"/>
      <c r="J35" s="55"/>
    </row>
    <row r="36" ht="24.0" customHeight="1">
      <c r="B36" s="53"/>
      <c r="C36" s="53"/>
      <c r="D36" s="53"/>
      <c r="E36" s="53"/>
      <c r="F36" s="53"/>
      <c r="G36" s="53"/>
      <c r="H36" s="57" t="str">
        <f t="shared" si="1"/>
        <v/>
      </c>
      <c r="I36" s="58"/>
      <c r="J36" s="53"/>
    </row>
    <row r="37" ht="24.0" customHeight="1">
      <c r="B37" s="55"/>
      <c r="C37" s="55"/>
      <c r="D37" s="55"/>
      <c r="E37" s="55"/>
      <c r="F37" s="55"/>
      <c r="G37" s="55"/>
      <c r="H37" s="59" t="str">
        <f t="shared" si="1"/>
        <v/>
      </c>
      <c r="I37" s="60"/>
      <c r="J37" s="55"/>
    </row>
    <row r="38" ht="24.0" customHeight="1">
      <c r="B38" s="53"/>
      <c r="C38" s="53"/>
      <c r="D38" s="53"/>
      <c r="E38" s="53"/>
      <c r="F38" s="53"/>
      <c r="G38" s="53"/>
      <c r="H38" s="57" t="str">
        <f t="shared" si="1"/>
        <v/>
      </c>
      <c r="I38" s="58"/>
      <c r="J38" s="53"/>
    </row>
    <row r="39" ht="24.0" customHeight="1">
      <c r="B39" s="55"/>
      <c r="C39" s="55"/>
      <c r="D39" s="55"/>
      <c r="E39" s="55"/>
      <c r="F39" s="55"/>
      <c r="G39" s="55"/>
      <c r="H39" s="59" t="str">
        <f t="shared" si="1"/>
        <v/>
      </c>
      <c r="I39" s="60"/>
      <c r="J39" s="55"/>
    </row>
    <row r="40" ht="24.0" customHeight="1">
      <c r="B40" s="53"/>
      <c r="C40" s="53"/>
      <c r="D40" s="53"/>
      <c r="E40" s="53"/>
      <c r="F40" s="53"/>
      <c r="G40" s="53"/>
      <c r="H40" s="57" t="str">
        <f t="shared" si="1"/>
        <v/>
      </c>
      <c r="I40" s="58"/>
      <c r="J40" s="53"/>
    </row>
    <row r="41" ht="24.0" customHeight="1">
      <c r="B41" s="55"/>
      <c r="C41" s="55"/>
      <c r="D41" s="55"/>
      <c r="E41" s="55"/>
      <c r="F41" s="55"/>
      <c r="G41" s="55"/>
      <c r="H41" s="59" t="str">
        <f t="shared" si="1"/>
        <v/>
      </c>
      <c r="I41" s="60"/>
      <c r="J41" s="55"/>
    </row>
    <row r="42" ht="24.0" customHeight="1">
      <c r="B42" s="53"/>
      <c r="C42" s="53"/>
      <c r="D42" s="53"/>
      <c r="E42" s="53"/>
      <c r="F42" s="53"/>
      <c r="G42" s="53"/>
      <c r="H42" s="57" t="str">
        <f t="shared" si="1"/>
        <v/>
      </c>
      <c r="I42" s="58"/>
      <c r="J42" s="53"/>
    </row>
    <row r="43" ht="24.0" customHeight="1">
      <c r="B43" s="55"/>
      <c r="C43" s="55"/>
      <c r="D43" s="55"/>
      <c r="E43" s="55"/>
      <c r="F43" s="55"/>
      <c r="G43" s="55"/>
      <c r="H43" s="59" t="str">
        <f t="shared" si="1"/>
        <v/>
      </c>
      <c r="I43" s="60"/>
      <c r="J43" s="55"/>
    </row>
    <row r="44" ht="24.0" customHeight="1">
      <c r="B44" s="53"/>
      <c r="C44" s="53"/>
      <c r="D44" s="53"/>
      <c r="E44" s="53"/>
      <c r="F44" s="53"/>
      <c r="G44" s="53"/>
      <c r="H44" s="57" t="str">
        <f t="shared" si="1"/>
        <v/>
      </c>
      <c r="I44" s="58"/>
      <c r="J44" s="53"/>
    </row>
    <row r="45" ht="24.0" customHeight="1">
      <c r="B45" s="55"/>
      <c r="C45" s="55"/>
      <c r="D45" s="55"/>
      <c r="E45" s="55"/>
      <c r="F45" s="55"/>
      <c r="G45" s="55"/>
      <c r="H45" s="59" t="str">
        <f t="shared" si="1"/>
        <v/>
      </c>
      <c r="I45" s="60"/>
      <c r="J45" s="55"/>
    </row>
    <row r="46" ht="24.0" customHeight="1">
      <c r="B46" s="53"/>
      <c r="C46" s="53"/>
      <c r="D46" s="53"/>
      <c r="E46" s="53"/>
      <c r="F46" s="53"/>
      <c r="G46" s="53"/>
      <c r="H46" s="57" t="str">
        <f t="shared" si="1"/>
        <v/>
      </c>
      <c r="I46" s="58"/>
      <c r="J46" s="53"/>
    </row>
    <row r="47" ht="24.0" customHeight="1">
      <c r="B47" s="55"/>
      <c r="C47" s="55"/>
      <c r="D47" s="55"/>
      <c r="E47" s="55"/>
      <c r="F47" s="55"/>
      <c r="G47" s="55"/>
      <c r="H47" s="59" t="str">
        <f t="shared" si="1"/>
        <v/>
      </c>
      <c r="I47" s="60"/>
      <c r="J47" s="55"/>
    </row>
    <row r="48" ht="24.0" customHeight="1">
      <c r="B48" s="53"/>
      <c r="C48" s="53"/>
      <c r="D48" s="53"/>
      <c r="E48" s="53"/>
      <c r="F48" s="53"/>
      <c r="G48" s="53"/>
      <c r="H48" s="57" t="str">
        <f t="shared" si="1"/>
        <v/>
      </c>
      <c r="I48" s="58"/>
      <c r="J48" s="53"/>
    </row>
    <row r="49" ht="24.0" customHeight="1">
      <c r="B49" s="55"/>
      <c r="C49" s="55"/>
      <c r="D49" s="55"/>
      <c r="E49" s="55"/>
      <c r="F49" s="55"/>
      <c r="G49" s="55"/>
      <c r="H49" s="59" t="str">
        <f t="shared" si="1"/>
        <v/>
      </c>
      <c r="I49" s="60"/>
      <c r="J49" s="55"/>
    </row>
    <row r="50" ht="24.0" customHeight="1">
      <c r="B50" s="53"/>
      <c r="C50" s="53"/>
      <c r="D50" s="53"/>
      <c r="E50" s="53"/>
      <c r="F50" s="53"/>
      <c r="G50" s="53"/>
      <c r="H50" s="57" t="str">
        <f t="shared" si="1"/>
        <v/>
      </c>
      <c r="I50" s="58"/>
      <c r="J50" s="53"/>
    </row>
    <row r="51" ht="24.0" customHeight="1">
      <c r="B51" s="55"/>
      <c r="C51" s="55"/>
      <c r="D51" s="55"/>
      <c r="E51" s="55"/>
      <c r="F51" s="55"/>
      <c r="G51" s="55"/>
      <c r="H51" s="59" t="str">
        <f t="shared" si="1"/>
        <v/>
      </c>
      <c r="I51" s="60"/>
      <c r="J51" s="55"/>
    </row>
    <row r="52" ht="24.0" customHeight="1">
      <c r="B52" s="53"/>
      <c r="C52" s="53"/>
      <c r="D52" s="53"/>
      <c r="E52" s="53"/>
      <c r="F52" s="53"/>
      <c r="G52" s="53"/>
      <c r="H52" s="57" t="str">
        <f t="shared" si="1"/>
        <v/>
      </c>
      <c r="I52" s="58"/>
      <c r="J52" s="53"/>
    </row>
    <row r="53" ht="24.0" customHeight="1">
      <c r="B53" s="55"/>
      <c r="C53" s="55"/>
      <c r="D53" s="55"/>
      <c r="E53" s="55"/>
      <c r="F53" s="55"/>
      <c r="G53" s="55"/>
      <c r="H53" s="59" t="str">
        <f t="shared" si="1"/>
        <v/>
      </c>
      <c r="I53" s="60"/>
      <c r="J53" s="55"/>
    </row>
    <row r="54" ht="24.0" customHeight="1">
      <c r="B54" s="53"/>
      <c r="C54" s="53"/>
      <c r="D54" s="53"/>
      <c r="E54" s="53"/>
      <c r="F54" s="53"/>
      <c r="G54" s="53"/>
      <c r="H54" s="57" t="str">
        <f t="shared" si="1"/>
        <v/>
      </c>
      <c r="I54" s="58"/>
      <c r="J54" s="53"/>
    </row>
    <row r="55" ht="24.0" customHeight="1">
      <c r="B55" s="55"/>
      <c r="C55" s="55"/>
      <c r="D55" s="55"/>
      <c r="E55" s="55"/>
      <c r="F55" s="55"/>
      <c r="G55" s="55"/>
      <c r="H55" s="59" t="str">
        <f t="shared" si="1"/>
        <v/>
      </c>
      <c r="I55" s="60"/>
      <c r="J55" s="55"/>
    </row>
    <row r="56" ht="24.0" customHeight="1">
      <c r="B56" s="53"/>
      <c r="C56" s="53"/>
      <c r="D56" s="53"/>
      <c r="E56" s="53"/>
      <c r="F56" s="53"/>
      <c r="G56" s="53"/>
      <c r="H56" s="57" t="str">
        <f t="shared" si="1"/>
        <v/>
      </c>
      <c r="I56" s="58"/>
      <c r="J56" s="53"/>
    </row>
    <row r="57" ht="24.0" customHeight="1">
      <c r="B57" s="55"/>
      <c r="C57" s="55"/>
      <c r="D57" s="55"/>
      <c r="E57" s="55"/>
      <c r="F57" s="55"/>
      <c r="G57" s="55"/>
      <c r="H57" s="59" t="str">
        <f t="shared" si="1"/>
        <v/>
      </c>
      <c r="I57" s="60"/>
      <c r="J57" s="55"/>
    </row>
    <row r="58" ht="24.0" customHeight="1">
      <c r="B58" s="53"/>
      <c r="C58" s="53"/>
      <c r="D58" s="53"/>
      <c r="E58" s="53"/>
      <c r="F58" s="53"/>
      <c r="G58" s="53"/>
      <c r="H58" s="57" t="str">
        <f t="shared" si="1"/>
        <v/>
      </c>
      <c r="I58" s="58"/>
      <c r="J58" s="53"/>
    </row>
    <row r="59" ht="24.0" customHeight="1">
      <c r="B59" s="55"/>
      <c r="C59" s="55"/>
      <c r="D59" s="55"/>
      <c r="E59" s="55"/>
      <c r="F59" s="55"/>
      <c r="G59" s="55"/>
      <c r="H59" s="59" t="str">
        <f t="shared" si="1"/>
        <v/>
      </c>
      <c r="I59" s="60"/>
      <c r="J59" s="55"/>
    </row>
    <row r="60" ht="24.0" customHeight="1">
      <c r="B60" s="53"/>
      <c r="C60" s="53"/>
      <c r="D60" s="53"/>
      <c r="E60" s="53"/>
      <c r="F60" s="53"/>
      <c r="G60" s="53"/>
      <c r="H60" s="57" t="str">
        <f t="shared" si="1"/>
        <v/>
      </c>
      <c r="I60" s="58"/>
      <c r="J60" s="53"/>
    </row>
    <row r="61" ht="24.0" customHeight="1">
      <c r="B61" s="55"/>
      <c r="C61" s="55"/>
      <c r="D61" s="55"/>
      <c r="E61" s="55"/>
      <c r="F61" s="55"/>
      <c r="G61" s="55"/>
      <c r="H61" s="59" t="str">
        <f t="shared" si="1"/>
        <v/>
      </c>
      <c r="I61" s="60"/>
      <c r="J61" s="55"/>
    </row>
    <row r="62" ht="24.0" customHeight="1">
      <c r="B62" s="53"/>
      <c r="C62" s="53"/>
      <c r="D62" s="53"/>
      <c r="E62" s="53"/>
      <c r="F62" s="53"/>
      <c r="G62" s="53"/>
      <c r="H62" s="57" t="str">
        <f t="shared" si="1"/>
        <v/>
      </c>
      <c r="I62" s="58"/>
      <c r="J62" s="53"/>
    </row>
    <row r="63" ht="24.0" customHeight="1">
      <c r="B63" s="55"/>
      <c r="C63" s="55"/>
      <c r="D63" s="55"/>
      <c r="E63" s="55"/>
      <c r="F63" s="55"/>
      <c r="G63" s="55"/>
      <c r="H63" s="59" t="str">
        <f t="shared" si="1"/>
        <v/>
      </c>
      <c r="I63" s="60"/>
      <c r="J63" s="55"/>
    </row>
    <row r="64" ht="15.75" customHeight="1"/>
    <row r="65" ht="31.5" customHeight="1">
      <c r="B65" s="61" t="s">
        <v>104</v>
      </c>
      <c r="C65" s="18"/>
      <c r="D65" s="18"/>
      <c r="E65" s="18"/>
      <c r="F65" s="18"/>
      <c r="G65" s="18"/>
      <c r="H65" s="19"/>
      <c r="I65" s="62">
        <f>SUMIF(G4:G64,"Fechado",I4:I64)</f>
        <v>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J1"/>
    <mergeCell ref="B65:H65"/>
  </mergeCells>
  <dataValidations>
    <dataValidation type="list" allowBlank="1" sqref="F4:F63">
      <formula1>"Viezes (20%),Assessorado (10%)"</formula1>
    </dataValidation>
    <dataValidation type="list" allowBlank="1" sqref="G4:G63">
      <formula1>"1o Contato,Proposta Enviada,Em Negociacao,Fechado,Sem Interesse,Follow-up Pendente"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42.0"/>
    <col customWidth="1" min="4" max="4" width="22.0"/>
    <col customWidth="1" min="5" max="5" width="16.0"/>
    <col customWidth="1" min="6" max="6" width="22.0"/>
    <col customWidth="1" min="7" max="26" width="8.71"/>
  </cols>
  <sheetData>
    <row r="1" ht="45.0" customHeight="1">
      <c r="B1" s="1" t="s">
        <v>105</v>
      </c>
      <c r="C1" s="2"/>
      <c r="D1" s="2"/>
      <c r="E1" s="2"/>
      <c r="F1" s="3"/>
    </row>
    <row r="2" ht="9.75" customHeight="1"/>
    <row r="3" ht="27.75" customHeight="1">
      <c r="B3" s="23" t="s">
        <v>106</v>
      </c>
      <c r="C3" s="23" t="s">
        <v>37</v>
      </c>
      <c r="D3" s="23" t="s">
        <v>38</v>
      </c>
      <c r="E3" s="23" t="s">
        <v>36</v>
      </c>
      <c r="F3" s="23" t="s">
        <v>13</v>
      </c>
    </row>
    <row r="4" ht="27.75" customHeight="1">
      <c r="B4" s="63" t="s">
        <v>107</v>
      </c>
      <c r="C4" s="18"/>
      <c r="D4" s="18"/>
      <c r="E4" s="18"/>
      <c r="F4" s="19"/>
    </row>
    <row r="5" ht="25.5" customHeight="1">
      <c r="B5" s="64"/>
      <c r="C5" s="40" t="s">
        <v>108</v>
      </c>
      <c r="D5" s="41" t="s">
        <v>44</v>
      </c>
      <c r="E5" s="65" t="s">
        <v>6</v>
      </c>
      <c r="F5" s="44"/>
    </row>
    <row r="6" ht="25.5" customHeight="1">
      <c r="B6" s="64"/>
      <c r="C6" s="46" t="s">
        <v>109</v>
      </c>
      <c r="D6" s="47" t="s">
        <v>44</v>
      </c>
      <c r="E6" s="66" t="s">
        <v>6</v>
      </c>
      <c r="F6" s="50"/>
    </row>
    <row r="7" ht="25.5" customHeight="1">
      <c r="B7" s="64"/>
      <c r="C7" s="40" t="s">
        <v>110</v>
      </c>
      <c r="D7" s="41" t="s">
        <v>111</v>
      </c>
      <c r="E7" s="65" t="s">
        <v>6</v>
      </c>
      <c r="F7" s="44"/>
    </row>
    <row r="8" ht="6.0" customHeight="1"/>
    <row r="9" ht="27.75" customHeight="1">
      <c r="B9" s="20" t="s">
        <v>112</v>
      </c>
      <c r="C9" s="18"/>
      <c r="D9" s="18"/>
      <c r="E9" s="18"/>
      <c r="F9" s="19"/>
    </row>
    <row r="10" ht="25.5" customHeight="1">
      <c r="B10" s="67"/>
      <c r="C10" s="40" t="s">
        <v>113</v>
      </c>
      <c r="D10" s="41" t="s">
        <v>54</v>
      </c>
      <c r="E10" s="65" t="s">
        <v>6</v>
      </c>
      <c r="F10" s="44" t="s">
        <v>114</v>
      </c>
    </row>
    <row r="11" ht="25.5" customHeight="1">
      <c r="B11" s="67"/>
      <c r="C11" s="46" t="s">
        <v>115</v>
      </c>
      <c r="D11" s="47" t="s">
        <v>54</v>
      </c>
      <c r="E11" s="66" t="s">
        <v>6</v>
      </c>
      <c r="F11" s="50" t="s">
        <v>116</v>
      </c>
    </row>
    <row r="12" ht="25.5" customHeight="1">
      <c r="B12" s="67"/>
      <c r="C12" s="40" t="s">
        <v>117</v>
      </c>
      <c r="D12" s="41" t="s">
        <v>54</v>
      </c>
      <c r="E12" s="65" t="s">
        <v>6</v>
      </c>
      <c r="F12" s="44"/>
    </row>
    <row r="13" ht="25.5" customHeight="1">
      <c r="B13" s="67"/>
      <c r="C13" s="46" t="s">
        <v>118</v>
      </c>
      <c r="D13" s="47" t="s">
        <v>54</v>
      </c>
      <c r="E13" s="66" t="s">
        <v>6</v>
      </c>
      <c r="F13" s="50"/>
    </row>
    <row r="14" ht="25.5" customHeight="1">
      <c r="B14" s="67"/>
      <c r="C14" s="40" t="s">
        <v>119</v>
      </c>
      <c r="D14" s="41" t="s">
        <v>44</v>
      </c>
      <c r="E14" s="65" t="s">
        <v>6</v>
      </c>
      <c r="F14" s="44"/>
    </row>
    <row r="15" ht="6.0" customHeight="1"/>
    <row r="16" ht="27.75" customHeight="1">
      <c r="B16" s="68" t="s">
        <v>120</v>
      </c>
      <c r="C16" s="18"/>
      <c r="D16" s="18"/>
      <c r="E16" s="18"/>
      <c r="F16" s="19"/>
    </row>
    <row r="17" ht="25.5" customHeight="1">
      <c r="B17" s="69"/>
      <c r="C17" s="40" t="s">
        <v>121</v>
      </c>
      <c r="D17" s="41" t="s">
        <v>44</v>
      </c>
      <c r="E17" s="65" t="s">
        <v>6</v>
      </c>
      <c r="F17" s="44" t="s">
        <v>122</v>
      </c>
    </row>
    <row r="18" ht="25.5" customHeight="1">
      <c r="B18" s="69"/>
      <c r="C18" s="46" t="s">
        <v>123</v>
      </c>
      <c r="D18" s="47" t="s">
        <v>44</v>
      </c>
      <c r="E18" s="66" t="s">
        <v>6</v>
      </c>
      <c r="F18" s="50"/>
    </row>
    <row r="19" ht="25.5" customHeight="1">
      <c r="B19" s="69"/>
      <c r="C19" s="40" t="s">
        <v>124</v>
      </c>
      <c r="D19" s="41" t="s">
        <v>44</v>
      </c>
      <c r="E19" s="65" t="s">
        <v>6</v>
      </c>
      <c r="F19" s="44"/>
    </row>
    <row r="20" ht="6.0" customHeight="1"/>
    <row r="21" ht="27.75" customHeight="1">
      <c r="B21" s="30" t="s">
        <v>125</v>
      </c>
      <c r="C21" s="18"/>
      <c r="D21" s="18"/>
      <c r="E21" s="18"/>
      <c r="F21" s="19"/>
    </row>
    <row r="22" ht="25.5" customHeight="1">
      <c r="B22" s="70"/>
      <c r="C22" s="40" t="s">
        <v>126</v>
      </c>
      <c r="D22" s="41" t="s">
        <v>54</v>
      </c>
      <c r="E22" s="65" t="s">
        <v>6</v>
      </c>
      <c r="F22" s="44"/>
    </row>
    <row r="23" ht="25.5" customHeight="1">
      <c r="B23" s="70"/>
      <c r="C23" s="46" t="s">
        <v>127</v>
      </c>
      <c r="D23" s="47" t="s">
        <v>44</v>
      </c>
      <c r="E23" s="66" t="s">
        <v>6</v>
      </c>
      <c r="F23" s="50"/>
    </row>
    <row r="24" ht="25.5" customHeight="1">
      <c r="B24" s="70"/>
      <c r="C24" s="40" t="s">
        <v>128</v>
      </c>
      <c r="D24" s="41" t="s">
        <v>54</v>
      </c>
      <c r="E24" s="65" t="s">
        <v>6</v>
      </c>
      <c r="F24" s="44"/>
    </row>
    <row r="25" ht="25.5" customHeight="1">
      <c r="B25" s="70"/>
      <c r="C25" s="46" t="s">
        <v>129</v>
      </c>
      <c r="D25" s="47" t="s">
        <v>130</v>
      </c>
      <c r="E25" s="66" t="s">
        <v>6</v>
      </c>
      <c r="F25" s="50"/>
    </row>
    <row r="26" ht="6.0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F1"/>
    <mergeCell ref="B4:F4"/>
    <mergeCell ref="B9:F9"/>
    <mergeCell ref="B16:F16"/>
    <mergeCell ref="B21:F21"/>
  </mergeCells>
  <dataValidations>
    <dataValidation type="list" allowBlank="1" sqref="E5:E7 E10:E14 E17:E19 E22:E25">
      <formula1>"Feito,Em andamento,Pendente,—"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3" width="22.0"/>
    <col customWidth="1" min="4" max="5" width="18.0"/>
    <col customWidth="1" min="6" max="6" width="15.0"/>
    <col customWidth="1" min="7" max="7" width="18.0"/>
    <col customWidth="1" min="8" max="8" width="22.0"/>
    <col customWidth="1" min="9" max="26" width="8.71"/>
  </cols>
  <sheetData>
    <row r="1" ht="45.0" customHeight="1">
      <c r="B1" s="1" t="s">
        <v>131</v>
      </c>
      <c r="C1" s="2"/>
      <c r="D1" s="2"/>
      <c r="E1" s="2"/>
      <c r="F1" s="2"/>
      <c r="G1" s="2"/>
      <c r="H1" s="3"/>
    </row>
    <row r="3" ht="25.5" customHeight="1">
      <c r="B3" s="71" t="s">
        <v>132</v>
      </c>
      <c r="C3" s="19"/>
      <c r="D3" s="38"/>
      <c r="E3" s="36"/>
    </row>
    <row r="4" ht="9.75" customHeight="1"/>
    <row r="5" ht="27.75" customHeight="1">
      <c r="B5" s="20" t="s">
        <v>133</v>
      </c>
      <c r="C5" s="18"/>
      <c r="D5" s="18"/>
      <c r="E5" s="18"/>
      <c r="F5" s="18"/>
      <c r="G5" s="18"/>
      <c r="H5" s="19"/>
    </row>
    <row r="6" ht="27.75" customHeight="1">
      <c r="B6" s="23" t="s">
        <v>96</v>
      </c>
      <c r="C6" s="23" t="s">
        <v>97</v>
      </c>
      <c r="D6" s="23" t="s">
        <v>134</v>
      </c>
      <c r="E6" s="23" t="s">
        <v>100</v>
      </c>
      <c r="F6" s="23" t="s">
        <v>101</v>
      </c>
      <c r="G6" s="23" t="s">
        <v>135</v>
      </c>
      <c r="H6" s="23" t="s">
        <v>13</v>
      </c>
    </row>
    <row r="7" ht="24.0" customHeight="1">
      <c r="B7" s="55"/>
      <c r="C7" s="55"/>
      <c r="D7" s="55"/>
      <c r="E7" s="55"/>
      <c r="F7" s="59" t="str">
        <f t="shared" ref="F7:F36" si="1">IF(E7="Viezes (20%)",20%,IF(E7="Assessorado (10%)",10%,""))</f>
        <v/>
      </c>
      <c r="G7" s="60"/>
      <c r="H7" s="55"/>
    </row>
    <row r="8" ht="24.0" customHeight="1">
      <c r="B8" s="53"/>
      <c r="C8" s="53"/>
      <c r="D8" s="53"/>
      <c r="E8" s="53"/>
      <c r="F8" s="57" t="str">
        <f t="shared" si="1"/>
        <v/>
      </c>
      <c r="G8" s="58"/>
      <c r="H8" s="53"/>
    </row>
    <row r="9" ht="24.0" customHeight="1">
      <c r="B9" s="55"/>
      <c r="C9" s="55"/>
      <c r="D9" s="55"/>
      <c r="E9" s="55"/>
      <c r="F9" s="59" t="str">
        <f t="shared" si="1"/>
        <v/>
      </c>
      <c r="G9" s="60"/>
      <c r="H9" s="55"/>
    </row>
    <row r="10" ht="24.0" customHeight="1">
      <c r="B10" s="53"/>
      <c r="C10" s="53"/>
      <c r="D10" s="53"/>
      <c r="E10" s="53"/>
      <c r="F10" s="57" t="str">
        <f t="shared" si="1"/>
        <v/>
      </c>
      <c r="G10" s="58"/>
      <c r="H10" s="53"/>
    </row>
    <row r="11" ht="24.0" customHeight="1">
      <c r="B11" s="55"/>
      <c r="C11" s="55"/>
      <c r="D11" s="55"/>
      <c r="E11" s="55"/>
      <c r="F11" s="59" t="str">
        <f t="shared" si="1"/>
        <v/>
      </c>
      <c r="G11" s="60"/>
      <c r="H11" s="55"/>
    </row>
    <row r="12" ht="24.0" customHeight="1">
      <c r="B12" s="53"/>
      <c r="C12" s="53"/>
      <c r="D12" s="53"/>
      <c r="E12" s="53"/>
      <c r="F12" s="57" t="str">
        <f t="shared" si="1"/>
        <v/>
      </c>
      <c r="G12" s="58"/>
      <c r="H12" s="53"/>
    </row>
    <row r="13" ht="24.0" customHeight="1">
      <c r="B13" s="55"/>
      <c r="C13" s="55"/>
      <c r="D13" s="55"/>
      <c r="E13" s="55"/>
      <c r="F13" s="59" t="str">
        <f t="shared" si="1"/>
        <v/>
      </c>
      <c r="G13" s="60"/>
      <c r="H13" s="55"/>
    </row>
    <row r="14" ht="24.0" customHeight="1">
      <c r="B14" s="53"/>
      <c r="C14" s="53"/>
      <c r="D14" s="53"/>
      <c r="E14" s="53"/>
      <c r="F14" s="57" t="str">
        <f t="shared" si="1"/>
        <v/>
      </c>
      <c r="G14" s="58"/>
      <c r="H14" s="53"/>
    </row>
    <row r="15" ht="24.0" customHeight="1">
      <c r="B15" s="55"/>
      <c r="C15" s="55"/>
      <c r="D15" s="55"/>
      <c r="E15" s="55"/>
      <c r="F15" s="59" t="str">
        <f t="shared" si="1"/>
        <v/>
      </c>
      <c r="G15" s="60"/>
      <c r="H15" s="55"/>
    </row>
    <row r="16" ht="24.0" customHeight="1">
      <c r="B16" s="53"/>
      <c r="C16" s="53"/>
      <c r="D16" s="53"/>
      <c r="E16" s="53"/>
      <c r="F16" s="57" t="str">
        <f t="shared" si="1"/>
        <v/>
      </c>
      <c r="G16" s="58"/>
      <c r="H16" s="53"/>
    </row>
    <row r="17" ht="24.0" customHeight="1">
      <c r="B17" s="55"/>
      <c r="C17" s="55"/>
      <c r="D17" s="55"/>
      <c r="E17" s="55"/>
      <c r="F17" s="59" t="str">
        <f t="shared" si="1"/>
        <v/>
      </c>
      <c r="G17" s="60"/>
      <c r="H17" s="55"/>
    </row>
    <row r="18" ht="24.0" customHeight="1">
      <c r="B18" s="53"/>
      <c r="C18" s="53"/>
      <c r="D18" s="53"/>
      <c r="E18" s="53"/>
      <c r="F18" s="57" t="str">
        <f t="shared" si="1"/>
        <v/>
      </c>
      <c r="G18" s="58"/>
      <c r="H18" s="53"/>
    </row>
    <row r="19" ht="24.0" customHeight="1">
      <c r="B19" s="55"/>
      <c r="C19" s="55"/>
      <c r="D19" s="55"/>
      <c r="E19" s="55"/>
      <c r="F19" s="59" t="str">
        <f t="shared" si="1"/>
        <v/>
      </c>
      <c r="G19" s="60"/>
      <c r="H19" s="55"/>
    </row>
    <row r="20" ht="24.0" customHeight="1">
      <c r="B20" s="53"/>
      <c r="C20" s="53"/>
      <c r="D20" s="53"/>
      <c r="E20" s="53"/>
      <c r="F20" s="57" t="str">
        <f t="shared" si="1"/>
        <v/>
      </c>
      <c r="G20" s="58"/>
      <c r="H20" s="53"/>
    </row>
    <row r="21" ht="24.0" customHeight="1">
      <c r="B21" s="55"/>
      <c r="C21" s="55"/>
      <c r="D21" s="55"/>
      <c r="E21" s="55"/>
      <c r="F21" s="59" t="str">
        <f t="shared" si="1"/>
        <v/>
      </c>
      <c r="G21" s="60"/>
      <c r="H21" s="55"/>
    </row>
    <row r="22" ht="24.0" customHeight="1">
      <c r="B22" s="53"/>
      <c r="C22" s="53"/>
      <c r="D22" s="53"/>
      <c r="E22" s="53"/>
      <c r="F22" s="57" t="str">
        <f t="shared" si="1"/>
        <v/>
      </c>
      <c r="G22" s="58"/>
      <c r="H22" s="53"/>
    </row>
    <row r="23" ht="24.0" customHeight="1">
      <c r="B23" s="55"/>
      <c r="C23" s="55"/>
      <c r="D23" s="55"/>
      <c r="E23" s="55"/>
      <c r="F23" s="59" t="str">
        <f t="shared" si="1"/>
        <v/>
      </c>
      <c r="G23" s="60"/>
      <c r="H23" s="55"/>
    </row>
    <row r="24" ht="24.0" customHeight="1">
      <c r="B24" s="53"/>
      <c r="C24" s="53"/>
      <c r="D24" s="53"/>
      <c r="E24" s="53"/>
      <c r="F24" s="57" t="str">
        <f t="shared" si="1"/>
        <v/>
      </c>
      <c r="G24" s="58"/>
      <c r="H24" s="53"/>
    </row>
    <row r="25" ht="24.0" customHeight="1">
      <c r="B25" s="55"/>
      <c r="C25" s="55"/>
      <c r="D25" s="55"/>
      <c r="E25" s="55"/>
      <c r="F25" s="59" t="str">
        <f t="shared" si="1"/>
        <v/>
      </c>
      <c r="G25" s="60"/>
      <c r="H25" s="55"/>
    </row>
    <row r="26" ht="24.0" customHeight="1">
      <c r="B26" s="53"/>
      <c r="C26" s="53"/>
      <c r="D26" s="53"/>
      <c r="E26" s="53"/>
      <c r="F26" s="57" t="str">
        <f t="shared" si="1"/>
        <v/>
      </c>
      <c r="G26" s="58"/>
      <c r="H26" s="53"/>
    </row>
    <row r="27" ht="24.0" customHeight="1">
      <c r="B27" s="55"/>
      <c r="C27" s="55"/>
      <c r="D27" s="55"/>
      <c r="E27" s="55"/>
      <c r="F27" s="59" t="str">
        <f t="shared" si="1"/>
        <v/>
      </c>
      <c r="G27" s="60"/>
      <c r="H27" s="55"/>
    </row>
    <row r="28" ht="24.0" customHeight="1">
      <c r="B28" s="53"/>
      <c r="C28" s="53"/>
      <c r="D28" s="53"/>
      <c r="E28" s="53"/>
      <c r="F28" s="57" t="str">
        <f t="shared" si="1"/>
        <v/>
      </c>
      <c r="G28" s="58"/>
      <c r="H28" s="53"/>
    </row>
    <row r="29" ht="24.0" customHeight="1">
      <c r="B29" s="55"/>
      <c r="C29" s="55"/>
      <c r="D29" s="55"/>
      <c r="E29" s="55"/>
      <c r="F29" s="59" t="str">
        <f t="shared" si="1"/>
        <v/>
      </c>
      <c r="G29" s="60"/>
      <c r="H29" s="55"/>
    </row>
    <row r="30" ht="24.0" customHeight="1">
      <c r="B30" s="53"/>
      <c r="C30" s="53"/>
      <c r="D30" s="53"/>
      <c r="E30" s="53"/>
      <c r="F30" s="57" t="str">
        <f t="shared" si="1"/>
        <v/>
      </c>
      <c r="G30" s="58"/>
      <c r="H30" s="53"/>
    </row>
    <row r="31" ht="24.0" customHeight="1">
      <c r="B31" s="55"/>
      <c r="C31" s="55"/>
      <c r="D31" s="55"/>
      <c r="E31" s="55"/>
      <c r="F31" s="59" t="str">
        <f t="shared" si="1"/>
        <v/>
      </c>
      <c r="G31" s="60"/>
      <c r="H31" s="55"/>
    </row>
    <row r="32" ht="24.0" customHeight="1">
      <c r="B32" s="53"/>
      <c r="C32" s="53"/>
      <c r="D32" s="53"/>
      <c r="E32" s="53"/>
      <c r="F32" s="57" t="str">
        <f t="shared" si="1"/>
        <v/>
      </c>
      <c r="G32" s="58"/>
      <c r="H32" s="53"/>
    </row>
    <row r="33" ht="24.0" customHeight="1">
      <c r="B33" s="55"/>
      <c r="C33" s="55"/>
      <c r="D33" s="55"/>
      <c r="E33" s="55"/>
      <c r="F33" s="59" t="str">
        <f t="shared" si="1"/>
        <v/>
      </c>
      <c r="G33" s="60"/>
      <c r="H33" s="55"/>
    </row>
    <row r="34" ht="24.0" customHeight="1">
      <c r="B34" s="53"/>
      <c r="C34" s="53"/>
      <c r="D34" s="53"/>
      <c r="E34" s="53"/>
      <c r="F34" s="57" t="str">
        <f t="shared" si="1"/>
        <v/>
      </c>
      <c r="G34" s="58"/>
      <c r="H34" s="53"/>
    </row>
    <row r="35" ht="24.0" customHeight="1">
      <c r="B35" s="55"/>
      <c r="C35" s="55"/>
      <c r="D35" s="55"/>
      <c r="E35" s="55"/>
      <c r="F35" s="59" t="str">
        <f t="shared" si="1"/>
        <v/>
      </c>
      <c r="G35" s="60"/>
      <c r="H35" s="55"/>
    </row>
    <row r="36" ht="24.0" customHeight="1">
      <c r="B36" s="53"/>
      <c r="C36" s="53"/>
      <c r="D36" s="53"/>
      <c r="E36" s="53"/>
      <c r="F36" s="57" t="str">
        <f t="shared" si="1"/>
        <v/>
      </c>
      <c r="G36" s="58"/>
      <c r="H36" s="53"/>
    </row>
    <row r="37" ht="15.75" customHeight="1"/>
    <row r="38" ht="30.0" customHeight="1">
      <c r="B38" s="72" t="s">
        <v>136</v>
      </c>
      <c r="C38" s="18"/>
      <c r="D38" s="18"/>
      <c r="E38" s="18"/>
      <c r="F38" s="19"/>
      <c r="G38" s="62">
        <f>SUMIF(D7:D36,"Fechado",G7:G36)</f>
        <v>0</v>
      </c>
    </row>
    <row r="39" ht="30.0" customHeight="1">
      <c r="B39" s="72" t="s">
        <v>137</v>
      </c>
      <c r="C39" s="18"/>
      <c r="D39" s="18"/>
      <c r="E39" s="18"/>
      <c r="F39" s="19"/>
      <c r="G39" s="73">
        <f>SUMPRODUCT((D7:D36="Fechado")*(E7:E36="Viezes (20%)")*G7:G36)*0.2</f>
        <v>0</v>
      </c>
    </row>
    <row r="40" ht="30.0" customHeight="1">
      <c r="B40" s="72" t="s">
        <v>138</v>
      </c>
      <c r="C40" s="18"/>
      <c r="D40" s="18"/>
      <c r="E40" s="18"/>
      <c r="F40" s="19"/>
      <c r="G40" s="74">
        <f>SUMPRODUCT((D7:D36="Fechado")*(E7:E36="Assessorado (10%)")*G7:G36)*0.1</f>
        <v>0</v>
      </c>
    </row>
    <row r="41" ht="15.75" customHeight="1"/>
    <row r="42" ht="9.75" customHeight="1"/>
    <row r="43" ht="27.75" customHeight="1">
      <c r="B43" s="20" t="s">
        <v>139</v>
      </c>
      <c r="C43" s="18"/>
      <c r="D43" s="18"/>
      <c r="E43" s="18"/>
      <c r="F43" s="18"/>
      <c r="G43" s="18"/>
      <c r="H43" s="19"/>
    </row>
    <row r="44" ht="25.5" customHeight="1">
      <c r="B44" s="75" t="s">
        <v>6</v>
      </c>
      <c r="C44" s="76" t="s">
        <v>140</v>
      </c>
      <c r="D44" s="18"/>
      <c r="E44" s="18"/>
      <c r="F44" s="18"/>
      <c r="G44" s="18"/>
      <c r="H44" s="19"/>
    </row>
    <row r="45" ht="25.5" customHeight="1">
      <c r="B45" s="77" t="s">
        <v>6</v>
      </c>
      <c r="C45" s="78" t="s">
        <v>141</v>
      </c>
      <c r="D45" s="18"/>
      <c r="E45" s="18"/>
      <c r="F45" s="18"/>
      <c r="G45" s="18"/>
      <c r="H45" s="19"/>
    </row>
    <row r="46" ht="25.5" customHeight="1">
      <c r="B46" s="75" t="s">
        <v>6</v>
      </c>
      <c r="C46" s="76" t="s">
        <v>142</v>
      </c>
      <c r="D46" s="18"/>
      <c r="E46" s="18"/>
      <c r="F46" s="18"/>
      <c r="G46" s="18"/>
      <c r="H46" s="19"/>
    </row>
    <row r="47" ht="25.5" customHeight="1">
      <c r="B47" s="77" t="s">
        <v>6</v>
      </c>
      <c r="C47" s="78" t="s">
        <v>143</v>
      </c>
      <c r="D47" s="18"/>
      <c r="E47" s="18"/>
      <c r="F47" s="18"/>
      <c r="G47" s="18"/>
      <c r="H47" s="19"/>
    </row>
    <row r="48" ht="25.5" customHeight="1">
      <c r="B48" s="75" t="s">
        <v>6</v>
      </c>
      <c r="C48" s="76" t="s">
        <v>144</v>
      </c>
      <c r="D48" s="18"/>
      <c r="E48" s="18"/>
      <c r="F48" s="18"/>
      <c r="G48" s="18"/>
      <c r="H48" s="1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3:H43"/>
    <mergeCell ref="C44:H44"/>
    <mergeCell ref="C45:H45"/>
    <mergeCell ref="C46:H46"/>
    <mergeCell ref="C47:H47"/>
    <mergeCell ref="C48:H48"/>
    <mergeCell ref="B1:H1"/>
    <mergeCell ref="B3:C3"/>
    <mergeCell ref="D3:E3"/>
    <mergeCell ref="B5:H5"/>
    <mergeCell ref="B38:F38"/>
    <mergeCell ref="B39:F39"/>
    <mergeCell ref="B40:F40"/>
  </mergeCells>
  <dataValidations>
    <dataValidation type="list" allowBlank="1" sqref="E7:E36">
      <formula1>"Viezes (20%),Assessorado (10%)"</formula1>
    </dataValidation>
    <dataValidation type="list" allowBlank="1" sqref="D7:D36">
      <formula1>"Fechado,Sem Interesse,Em Aberto,Em Negociacao"</formula1>
    </dataValidation>
    <dataValidation type="list" allowBlank="1" sqref="B44:B48">
      <formula1>"Feito,Pendente,—"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4" width="18.0"/>
    <col customWidth="1" min="5" max="5" width="20.0"/>
    <col customWidth="1" min="6" max="6" width="16.0"/>
    <col customWidth="1" min="7" max="7" width="20.0"/>
    <col customWidth="1" min="8" max="26" width="8.71"/>
  </cols>
  <sheetData>
    <row r="1" ht="45.0" customHeight="1">
      <c r="B1" s="1" t="s">
        <v>145</v>
      </c>
      <c r="C1" s="2"/>
      <c r="D1" s="2"/>
      <c r="E1" s="2"/>
      <c r="F1" s="2"/>
      <c r="G1" s="3"/>
    </row>
    <row r="2" ht="9.75" customHeight="1"/>
    <row r="3" ht="27.75" customHeight="1">
      <c r="B3" s="23" t="s">
        <v>96</v>
      </c>
      <c r="C3" s="23" t="s">
        <v>146</v>
      </c>
      <c r="D3" s="23" t="s">
        <v>147</v>
      </c>
      <c r="E3" s="23" t="s">
        <v>100</v>
      </c>
      <c r="F3" s="23" t="s">
        <v>101</v>
      </c>
      <c r="G3" s="23" t="s">
        <v>148</v>
      </c>
    </row>
    <row r="4" ht="24.0" customHeight="1">
      <c r="B4" s="65"/>
      <c r="C4" s="65"/>
      <c r="D4" s="79"/>
      <c r="E4" s="65"/>
      <c r="F4" s="80" t="str">
        <f t="shared" ref="F4:F63" si="1">IF(E4="Viezes (20%)",20%,IF(E4="Assessorado (10%)",10%,""))</f>
        <v/>
      </c>
      <c r="G4" s="79" t="str">
        <f t="shared" ref="G4:G63" si="2">IF(AND(D4&lt;&gt;"",F4&lt;&gt;""),D4*F4,"")</f>
        <v/>
      </c>
    </row>
    <row r="5" ht="24.0" customHeight="1">
      <c r="B5" s="66"/>
      <c r="C5" s="66"/>
      <c r="D5" s="81"/>
      <c r="E5" s="66"/>
      <c r="F5" s="82" t="str">
        <f t="shared" si="1"/>
        <v/>
      </c>
      <c r="G5" s="81" t="str">
        <f t="shared" si="2"/>
        <v/>
      </c>
    </row>
    <row r="6" ht="24.0" customHeight="1">
      <c r="B6" s="65"/>
      <c r="C6" s="65"/>
      <c r="D6" s="79"/>
      <c r="E6" s="65"/>
      <c r="F6" s="80" t="str">
        <f t="shared" si="1"/>
        <v/>
      </c>
      <c r="G6" s="79" t="str">
        <f t="shared" si="2"/>
        <v/>
      </c>
    </row>
    <row r="7" ht="24.0" customHeight="1">
      <c r="B7" s="66"/>
      <c r="C7" s="66"/>
      <c r="D7" s="81"/>
      <c r="E7" s="66"/>
      <c r="F7" s="82" t="str">
        <f t="shared" si="1"/>
        <v/>
      </c>
      <c r="G7" s="81" t="str">
        <f t="shared" si="2"/>
        <v/>
      </c>
    </row>
    <row r="8" ht="24.0" customHeight="1">
      <c r="B8" s="65"/>
      <c r="C8" s="65"/>
      <c r="D8" s="79"/>
      <c r="E8" s="65"/>
      <c r="F8" s="80" t="str">
        <f t="shared" si="1"/>
        <v/>
      </c>
      <c r="G8" s="79" t="str">
        <f t="shared" si="2"/>
        <v/>
      </c>
    </row>
    <row r="9" ht="24.0" customHeight="1">
      <c r="B9" s="66"/>
      <c r="C9" s="66"/>
      <c r="D9" s="81"/>
      <c r="E9" s="66"/>
      <c r="F9" s="82" t="str">
        <f t="shared" si="1"/>
        <v/>
      </c>
      <c r="G9" s="81" t="str">
        <f t="shared" si="2"/>
        <v/>
      </c>
    </row>
    <row r="10" ht="24.0" customHeight="1">
      <c r="B10" s="65"/>
      <c r="C10" s="65"/>
      <c r="D10" s="79"/>
      <c r="E10" s="65"/>
      <c r="F10" s="80" t="str">
        <f t="shared" si="1"/>
        <v/>
      </c>
      <c r="G10" s="79" t="str">
        <f t="shared" si="2"/>
        <v/>
      </c>
    </row>
    <row r="11" ht="24.0" customHeight="1">
      <c r="B11" s="66"/>
      <c r="C11" s="66"/>
      <c r="D11" s="81"/>
      <c r="E11" s="66"/>
      <c r="F11" s="82" t="str">
        <f t="shared" si="1"/>
        <v/>
      </c>
      <c r="G11" s="81" t="str">
        <f t="shared" si="2"/>
        <v/>
      </c>
    </row>
    <row r="12" ht="24.0" customHeight="1">
      <c r="B12" s="65"/>
      <c r="C12" s="65"/>
      <c r="D12" s="79"/>
      <c r="E12" s="65"/>
      <c r="F12" s="80" t="str">
        <f t="shared" si="1"/>
        <v/>
      </c>
      <c r="G12" s="79" t="str">
        <f t="shared" si="2"/>
        <v/>
      </c>
    </row>
    <row r="13" ht="24.0" customHeight="1">
      <c r="B13" s="66"/>
      <c r="C13" s="66"/>
      <c r="D13" s="81"/>
      <c r="E13" s="66"/>
      <c r="F13" s="82" t="str">
        <f t="shared" si="1"/>
        <v/>
      </c>
      <c r="G13" s="81" t="str">
        <f t="shared" si="2"/>
        <v/>
      </c>
    </row>
    <row r="14" ht="24.0" customHeight="1">
      <c r="B14" s="65"/>
      <c r="C14" s="65"/>
      <c r="D14" s="79"/>
      <c r="E14" s="65"/>
      <c r="F14" s="80" t="str">
        <f t="shared" si="1"/>
        <v/>
      </c>
      <c r="G14" s="79" t="str">
        <f t="shared" si="2"/>
        <v/>
      </c>
    </row>
    <row r="15" ht="24.0" customHeight="1">
      <c r="B15" s="66"/>
      <c r="C15" s="66"/>
      <c r="D15" s="81"/>
      <c r="E15" s="66"/>
      <c r="F15" s="82" t="str">
        <f t="shared" si="1"/>
        <v/>
      </c>
      <c r="G15" s="81" t="str">
        <f t="shared" si="2"/>
        <v/>
      </c>
    </row>
    <row r="16" ht="24.0" customHeight="1">
      <c r="B16" s="65"/>
      <c r="C16" s="65"/>
      <c r="D16" s="79"/>
      <c r="E16" s="65"/>
      <c r="F16" s="80" t="str">
        <f t="shared" si="1"/>
        <v/>
      </c>
      <c r="G16" s="79" t="str">
        <f t="shared" si="2"/>
        <v/>
      </c>
    </row>
    <row r="17" ht="24.0" customHeight="1">
      <c r="B17" s="66"/>
      <c r="C17" s="66"/>
      <c r="D17" s="81"/>
      <c r="E17" s="66"/>
      <c r="F17" s="82" t="str">
        <f t="shared" si="1"/>
        <v/>
      </c>
      <c r="G17" s="81" t="str">
        <f t="shared" si="2"/>
        <v/>
      </c>
    </row>
    <row r="18" ht="24.0" customHeight="1">
      <c r="B18" s="65"/>
      <c r="C18" s="65"/>
      <c r="D18" s="79"/>
      <c r="E18" s="65"/>
      <c r="F18" s="80" t="str">
        <f t="shared" si="1"/>
        <v/>
      </c>
      <c r="G18" s="79" t="str">
        <f t="shared" si="2"/>
        <v/>
      </c>
    </row>
    <row r="19" ht="24.0" customHeight="1">
      <c r="B19" s="66"/>
      <c r="C19" s="66"/>
      <c r="D19" s="81"/>
      <c r="E19" s="66"/>
      <c r="F19" s="82" t="str">
        <f t="shared" si="1"/>
        <v/>
      </c>
      <c r="G19" s="81" t="str">
        <f t="shared" si="2"/>
        <v/>
      </c>
    </row>
    <row r="20" ht="24.0" customHeight="1">
      <c r="B20" s="65"/>
      <c r="C20" s="65"/>
      <c r="D20" s="79"/>
      <c r="E20" s="65"/>
      <c r="F20" s="80" t="str">
        <f t="shared" si="1"/>
        <v/>
      </c>
      <c r="G20" s="79" t="str">
        <f t="shared" si="2"/>
        <v/>
      </c>
    </row>
    <row r="21" ht="24.0" customHeight="1">
      <c r="B21" s="66"/>
      <c r="C21" s="66"/>
      <c r="D21" s="81"/>
      <c r="E21" s="66"/>
      <c r="F21" s="82" t="str">
        <f t="shared" si="1"/>
        <v/>
      </c>
      <c r="G21" s="81" t="str">
        <f t="shared" si="2"/>
        <v/>
      </c>
    </row>
    <row r="22" ht="24.0" customHeight="1">
      <c r="B22" s="65"/>
      <c r="C22" s="65"/>
      <c r="D22" s="79"/>
      <c r="E22" s="65"/>
      <c r="F22" s="80" t="str">
        <f t="shared" si="1"/>
        <v/>
      </c>
      <c r="G22" s="79" t="str">
        <f t="shared" si="2"/>
        <v/>
      </c>
    </row>
    <row r="23" ht="24.0" customHeight="1">
      <c r="B23" s="66"/>
      <c r="C23" s="66"/>
      <c r="D23" s="81"/>
      <c r="E23" s="66"/>
      <c r="F23" s="82" t="str">
        <f t="shared" si="1"/>
        <v/>
      </c>
      <c r="G23" s="81" t="str">
        <f t="shared" si="2"/>
        <v/>
      </c>
    </row>
    <row r="24" ht="24.0" customHeight="1">
      <c r="B24" s="65"/>
      <c r="C24" s="65"/>
      <c r="D24" s="79"/>
      <c r="E24" s="65"/>
      <c r="F24" s="80" t="str">
        <f t="shared" si="1"/>
        <v/>
      </c>
      <c r="G24" s="79" t="str">
        <f t="shared" si="2"/>
        <v/>
      </c>
    </row>
    <row r="25" ht="24.0" customHeight="1">
      <c r="B25" s="66"/>
      <c r="C25" s="66"/>
      <c r="D25" s="81"/>
      <c r="E25" s="66"/>
      <c r="F25" s="82" t="str">
        <f t="shared" si="1"/>
        <v/>
      </c>
      <c r="G25" s="81" t="str">
        <f t="shared" si="2"/>
        <v/>
      </c>
    </row>
    <row r="26" ht="24.0" customHeight="1">
      <c r="B26" s="65"/>
      <c r="C26" s="65"/>
      <c r="D26" s="79"/>
      <c r="E26" s="65"/>
      <c r="F26" s="80" t="str">
        <f t="shared" si="1"/>
        <v/>
      </c>
      <c r="G26" s="79" t="str">
        <f t="shared" si="2"/>
        <v/>
      </c>
    </row>
    <row r="27" ht="24.0" customHeight="1">
      <c r="B27" s="66"/>
      <c r="C27" s="66"/>
      <c r="D27" s="81"/>
      <c r="E27" s="66"/>
      <c r="F27" s="82" t="str">
        <f t="shared" si="1"/>
        <v/>
      </c>
      <c r="G27" s="81" t="str">
        <f t="shared" si="2"/>
        <v/>
      </c>
    </row>
    <row r="28" ht="24.0" customHeight="1">
      <c r="B28" s="65"/>
      <c r="C28" s="65"/>
      <c r="D28" s="79"/>
      <c r="E28" s="65"/>
      <c r="F28" s="80" t="str">
        <f t="shared" si="1"/>
        <v/>
      </c>
      <c r="G28" s="79" t="str">
        <f t="shared" si="2"/>
        <v/>
      </c>
    </row>
    <row r="29" ht="24.0" customHeight="1">
      <c r="B29" s="66"/>
      <c r="C29" s="66"/>
      <c r="D29" s="81"/>
      <c r="E29" s="66"/>
      <c r="F29" s="82" t="str">
        <f t="shared" si="1"/>
        <v/>
      </c>
      <c r="G29" s="81" t="str">
        <f t="shared" si="2"/>
        <v/>
      </c>
    </row>
    <row r="30" ht="24.0" customHeight="1">
      <c r="B30" s="65"/>
      <c r="C30" s="65"/>
      <c r="D30" s="79"/>
      <c r="E30" s="65"/>
      <c r="F30" s="80" t="str">
        <f t="shared" si="1"/>
        <v/>
      </c>
      <c r="G30" s="79" t="str">
        <f t="shared" si="2"/>
        <v/>
      </c>
    </row>
    <row r="31" ht="24.0" customHeight="1">
      <c r="B31" s="66"/>
      <c r="C31" s="66"/>
      <c r="D31" s="81"/>
      <c r="E31" s="66"/>
      <c r="F31" s="82" t="str">
        <f t="shared" si="1"/>
        <v/>
      </c>
      <c r="G31" s="81" t="str">
        <f t="shared" si="2"/>
        <v/>
      </c>
    </row>
    <row r="32" ht="24.0" customHeight="1">
      <c r="B32" s="65"/>
      <c r="C32" s="65"/>
      <c r="D32" s="79"/>
      <c r="E32" s="65"/>
      <c r="F32" s="80" t="str">
        <f t="shared" si="1"/>
        <v/>
      </c>
      <c r="G32" s="79" t="str">
        <f t="shared" si="2"/>
        <v/>
      </c>
    </row>
    <row r="33" ht="24.0" customHeight="1">
      <c r="B33" s="66"/>
      <c r="C33" s="66"/>
      <c r="D33" s="81"/>
      <c r="E33" s="66"/>
      <c r="F33" s="82" t="str">
        <f t="shared" si="1"/>
        <v/>
      </c>
      <c r="G33" s="81" t="str">
        <f t="shared" si="2"/>
        <v/>
      </c>
    </row>
    <row r="34" ht="24.0" customHeight="1">
      <c r="B34" s="65"/>
      <c r="C34" s="65"/>
      <c r="D34" s="79"/>
      <c r="E34" s="65"/>
      <c r="F34" s="80" t="str">
        <f t="shared" si="1"/>
        <v/>
      </c>
      <c r="G34" s="79" t="str">
        <f t="shared" si="2"/>
        <v/>
      </c>
    </row>
    <row r="35" ht="24.0" customHeight="1">
      <c r="B35" s="66"/>
      <c r="C35" s="66"/>
      <c r="D35" s="81"/>
      <c r="E35" s="66"/>
      <c r="F35" s="82" t="str">
        <f t="shared" si="1"/>
        <v/>
      </c>
      <c r="G35" s="81" t="str">
        <f t="shared" si="2"/>
        <v/>
      </c>
    </row>
    <row r="36" ht="24.0" customHeight="1">
      <c r="B36" s="65"/>
      <c r="C36" s="65"/>
      <c r="D36" s="79"/>
      <c r="E36" s="65"/>
      <c r="F36" s="80" t="str">
        <f t="shared" si="1"/>
        <v/>
      </c>
      <c r="G36" s="79" t="str">
        <f t="shared" si="2"/>
        <v/>
      </c>
    </row>
    <row r="37" ht="24.0" customHeight="1">
      <c r="B37" s="66"/>
      <c r="C37" s="66"/>
      <c r="D37" s="81"/>
      <c r="E37" s="66"/>
      <c r="F37" s="82" t="str">
        <f t="shared" si="1"/>
        <v/>
      </c>
      <c r="G37" s="81" t="str">
        <f t="shared" si="2"/>
        <v/>
      </c>
    </row>
    <row r="38" ht="24.0" customHeight="1">
      <c r="B38" s="65"/>
      <c r="C38" s="65"/>
      <c r="D38" s="79"/>
      <c r="E38" s="65"/>
      <c r="F38" s="80" t="str">
        <f t="shared" si="1"/>
        <v/>
      </c>
      <c r="G38" s="79" t="str">
        <f t="shared" si="2"/>
        <v/>
      </c>
    </row>
    <row r="39" ht="24.0" customHeight="1">
      <c r="B39" s="66"/>
      <c r="C39" s="66"/>
      <c r="D39" s="81"/>
      <c r="E39" s="66"/>
      <c r="F39" s="82" t="str">
        <f t="shared" si="1"/>
        <v/>
      </c>
      <c r="G39" s="81" t="str">
        <f t="shared" si="2"/>
        <v/>
      </c>
    </row>
    <row r="40" ht="24.0" customHeight="1">
      <c r="B40" s="65"/>
      <c r="C40" s="65"/>
      <c r="D40" s="79"/>
      <c r="E40" s="65"/>
      <c r="F40" s="80" t="str">
        <f t="shared" si="1"/>
        <v/>
      </c>
      <c r="G40" s="79" t="str">
        <f t="shared" si="2"/>
        <v/>
      </c>
    </row>
    <row r="41" ht="24.0" customHeight="1">
      <c r="B41" s="66"/>
      <c r="C41" s="66"/>
      <c r="D41" s="81"/>
      <c r="E41" s="66"/>
      <c r="F41" s="82" t="str">
        <f t="shared" si="1"/>
        <v/>
      </c>
      <c r="G41" s="81" t="str">
        <f t="shared" si="2"/>
        <v/>
      </c>
    </row>
    <row r="42" ht="24.0" customHeight="1">
      <c r="B42" s="65"/>
      <c r="C42" s="65"/>
      <c r="D42" s="79"/>
      <c r="E42" s="65"/>
      <c r="F42" s="80" t="str">
        <f t="shared" si="1"/>
        <v/>
      </c>
      <c r="G42" s="79" t="str">
        <f t="shared" si="2"/>
        <v/>
      </c>
    </row>
    <row r="43" ht="24.0" customHeight="1">
      <c r="B43" s="66"/>
      <c r="C43" s="66"/>
      <c r="D43" s="81"/>
      <c r="E43" s="66"/>
      <c r="F43" s="82" t="str">
        <f t="shared" si="1"/>
        <v/>
      </c>
      <c r="G43" s="81" t="str">
        <f t="shared" si="2"/>
        <v/>
      </c>
    </row>
    <row r="44" ht="24.0" customHeight="1">
      <c r="B44" s="65"/>
      <c r="C44" s="65"/>
      <c r="D44" s="79"/>
      <c r="E44" s="65"/>
      <c r="F44" s="80" t="str">
        <f t="shared" si="1"/>
        <v/>
      </c>
      <c r="G44" s="79" t="str">
        <f t="shared" si="2"/>
        <v/>
      </c>
    </row>
    <row r="45" ht="24.0" customHeight="1">
      <c r="B45" s="66"/>
      <c r="C45" s="66"/>
      <c r="D45" s="81"/>
      <c r="E45" s="66"/>
      <c r="F45" s="82" t="str">
        <f t="shared" si="1"/>
        <v/>
      </c>
      <c r="G45" s="81" t="str">
        <f t="shared" si="2"/>
        <v/>
      </c>
    </row>
    <row r="46" ht="24.0" customHeight="1">
      <c r="B46" s="65"/>
      <c r="C46" s="65"/>
      <c r="D46" s="79"/>
      <c r="E46" s="65"/>
      <c r="F46" s="80" t="str">
        <f t="shared" si="1"/>
        <v/>
      </c>
      <c r="G46" s="79" t="str">
        <f t="shared" si="2"/>
        <v/>
      </c>
    </row>
    <row r="47" ht="24.0" customHeight="1">
      <c r="B47" s="66"/>
      <c r="C47" s="66"/>
      <c r="D47" s="81"/>
      <c r="E47" s="66"/>
      <c r="F47" s="82" t="str">
        <f t="shared" si="1"/>
        <v/>
      </c>
      <c r="G47" s="81" t="str">
        <f t="shared" si="2"/>
        <v/>
      </c>
    </row>
    <row r="48" ht="24.0" customHeight="1">
      <c r="B48" s="65"/>
      <c r="C48" s="65"/>
      <c r="D48" s="79"/>
      <c r="E48" s="65"/>
      <c r="F48" s="80" t="str">
        <f t="shared" si="1"/>
        <v/>
      </c>
      <c r="G48" s="79" t="str">
        <f t="shared" si="2"/>
        <v/>
      </c>
    </row>
    <row r="49" ht="24.0" customHeight="1">
      <c r="B49" s="66"/>
      <c r="C49" s="66"/>
      <c r="D49" s="81"/>
      <c r="E49" s="66"/>
      <c r="F49" s="82" t="str">
        <f t="shared" si="1"/>
        <v/>
      </c>
      <c r="G49" s="81" t="str">
        <f t="shared" si="2"/>
        <v/>
      </c>
    </row>
    <row r="50" ht="24.0" customHeight="1">
      <c r="B50" s="65"/>
      <c r="C50" s="65"/>
      <c r="D50" s="79"/>
      <c r="E50" s="65"/>
      <c r="F50" s="80" t="str">
        <f t="shared" si="1"/>
        <v/>
      </c>
      <c r="G50" s="79" t="str">
        <f t="shared" si="2"/>
        <v/>
      </c>
    </row>
    <row r="51" ht="24.0" customHeight="1">
      <c r="B51" s="66"/>
      <c r="C51" s="66"/>
      <c r="D51" s="81"/>
      <c r="E51" s="66"/>
      <c r="F51" s="82" t="str">
        <f t="shared" si="1"/>
        <v/>
      </c>
      <c r="G51" s="81" t="str">
        <f t="shared" si="2"/>
        <v/>
      </c>
    </row>
    <row r="52" ht="24.0" customHeight="1">
      <c r="B52" s="65"/>
      <c r="C52" s="65"/>
      <c r="D52" s="79"/>
      <c r="E52" s="65"/>
      <c r="F52" s="80" t="str">
        <f t="shared" si="1"/>
        <v/>
      </c>
      <c r="G52" s="79" t="str">
        <f t="shared" si="2"/>
        <v/>
      </c>
    </row>
    <row r="53" ht="24.0" customHeight="1">
      <c r="B53" s="66"/>
      <c r="C53" s="66"/>
      <c r="D53" s="81"/>
      <c r="E53" s="66"/>
      <c r="F53" s="82" t="str">
        <f t="shared" si="1"/>
        <v/>
      </c>
      <c r="G53" s="81" t="str">
        <f t="shared" si="2"/>
        <v/>
      </c>
    </row>
    <row r="54" ht="24.0" customHeight="1">
      <c r="B54" s="65"/>
      <c r="C54" s="65"/>
      <c r="D54" s="79"/>
      <c r="E54" s="65"/>
      <c r="F54" s="80" t="str">
        <f t="shared" si="1"/>
        <v/>
      </c>
      <c r="G54" s="79" t="str">
        <f t="shared" si="2"/>
        <v/>
      </c>
    </row>
    <row r="55" ht="24.0" customHeight="1">
      <c r="B55" s="66"/>
      <c r="C55" s="66"/>
      <c r="D55" s="81"/>
      <c r="E55" s="66"/>
      <c r="F55" s="82" t="str">
        <f t="shared" si="1"/>
        <v/>
      </c>
      <c r="G55" s="81" t="str">
        <f t="shared" si="2"/>
        <v/>
      </c>
    </row>
    <row r="56" ht="24.0" customHeight="1">
      <c r="B56" s="65"/>
      <c r="C56" s="65"/>
      <c r="D56" s="79"/>
      <c r="E56" s="65"/>
      <c r="F56" s="80" t="str">
        <f t="shared" si="1"/>
        <v/>
      </c>
      <c r="G56" s="79" t="str">
        <f t="shared" si="2"/>
        <v/>
      </c>
    </row>
    <row r="57" ht="24.0" customHeight="1">
      <c r="B57" s="66"/>
      <c r="C57" s="66"/>
      <c r="D57" s="81"/>
      <c r="E57" s="66"/>
      <c r="F57" s="82" t="str">
        <f t="shared" si="1"/>
        <v/>
      </c>
      <c r="G57" s="81" t="str">
        <f t="shared" si="2"/>
        <v/>
      </c>
    </row>
    <row r="58" ht="24.0" customHeight="1">
      <c r="B58" s="65"/>
      <c r="C58" s="65"/>
      <c r="D58" s="79"/>
      <c r="E58" s="65"/>
      <c r="F58" s="80" t="str">
        <f t="shared" si="1"/>
        <v/>
      </c>
      <c r="G58" s="79" t="str">
        <f t="shared" si="2"/>
        <v/>
      </c>
    </row>
    <row r="59" ht="24.0" customHeight="1">
      <c r="B59" s="66"/>
      <c r="C59" s="66"/>
      <c r="D59" s="81"/>
      <c r="E59" s="66"/>
      <c r="F59" s="82" t="str">
        <f t="shared" si="1"/>
        <v/>
      </c>
      <c r="G59" s="81" t="str">
        <f t="shared" si="2"/>
        <v/>
      </c>
    </row>
    <row r="60" ht="24.0" customHeight="1">
      <c r="B60" s="65"/>
      <c r="C60" s="65"/>
      <c r="D60" s="79"/>
      <c r="E60" s="65"/>
      <c r="F60" s="80" t="str">
        <f t="shared" si="1"/>
        <v/>
      </c>
      <c r="G60" s="79" t="str">
        <f t="shared" si="2"/>
        <v/>
      </c>
    </row>
    <row r="61" ht="24.0" customHeight="1">
      <c r="B61" s="66"/>
      <c r="C61" s="66"/>
      <c r="D61" s="81"/>
      <c r="E61" s="66"/>
      <c r="F61" s="82" t="str">
        <f t="shared" si="1"/>
        <v/>
      </c>
      <c r="G61" s="81" t="str">
        <f t="shared" si="2"/>
        <v/>
      </c>
    </row>
    <row r="62" ht="24.0" customHeight="1">
      <c r="B62" s="65"/>
      <c r="C62" s="65"/>
      <c r="D62" s="79"/>
      <c r="E62" s="65"/>
      <c r="F62" s="80" t="str">
        <f t="shared" si="1"/>
        <v/>
      </c>
      <c r="G62" s="79" t="str">
        <f t="shared" si="2"/>
        <v/>
      </c>
    </row>
    <row r="63" ht="24.0" customHeight="1">
      <c r="B63" s="66"/>
      <c r="C63" s="66"/>
      <c r="D63" s="81"/>
      <c r="E63" s="66"/>
      <c r="F63" s="82" t="str">
        <f t="shared" si="1"/>
        <v/>
      </c>
      <c r="G63" s="81" t="str">
        <f t="shared" si="2"/>
        <v/>
      </c>
    </row>
    <row r="64" ht="15.75" customHeight="1"/>
    <row r="65" ht="31.5" customHeight="1">
      <c r="B65" s="61" t="s">
        <v>149</v>
      </c>
      <c r="C65" s="18"/>
      <c r="D65" s="18"/>
      <c r="E65" s="18"/>
      <c r="F65" s="19"/>
      <c r="G65" s="83">
        <f>SUM(G4:G64)</f>
        <v>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65:F65"/>
  </mergeCells>
  <dataValidations>
    <dataValidation type="list" allowBlank="1" sqref="E4:E63">
      <formula1>"Viezes (20%),Assessorado (10%)"</formula1>
    </dataValidation>
  </dataValidations>
  <printOptions/>
  <pageMargins bottom="1.0" footer="0.0" header="0.0" left="0.75" right="0.75" top="1.0"/>
  <pageSetup paperSize="9" orientation="portrait"/>
  <drawing r:id="rId1"/>
</worksheet>
</file>