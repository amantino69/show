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hecklist" sheetId="2" r:id="rId6"/>
    <sheet state="visible" name="Perfil" sheetId="3" r:id="rId7"/>
    <sheet state="visible" name="Contrato" sheetId="4" r:id="rId8"/>
    <sheet state="visible" name="MidiaKit" sheetId="5" r:id="rId9"/>
    <sheet state="visible" name="Marcas" sheetId="6" r:id="rId10"/>
    <sheet state="visible" name="Acessos" sheetId="7" r:id="rId11"/>
    <sheet state="visible" name="Reuniao" sheetId="8" r:id="rId12"/>
  </sheets>
  <definedNames/>
  <calcPr/>
</workbook>
</file>

<file path=xl/sharedStrings.xml><?xml version="1.0" encoding="utf-8"?>
<sst xmlns="http://schemas.openxmlformats.org/spreadsheetml/2006/main" count="489" uniqueCount="296">
  <si>
    <t>VIEZES ASSESSORIA — FICHA DE ONBOARDING</t>
  </si>
  <si>
    <t>Preencha o nome do assessorado e acompanhe todo o processo de entrada</t>
  </si>
  <si>
    <t>ASSESSORADO:</t>
  </si>
  <si>
    <t xml:space="preserve"> Pedro Henrique Marçal Oliveira - P7</t>
  </si>
  <si>
    <t>DATA ENTRADA:</t>
  </si>
  <si>
    <t>/</t>
  </si>
  <si>
    <t>ETAPA ATUAL</t>
  </si>
  <si>
    <t>PROGRESSO GERAL</t>
  </si>
  <si>
    <t>TAREFAS CONCLUÍDAS</t>
  </si>
  <si>
    <t>PENDÊNCIAS</t>
  </si>
  <si>
    <t>Atualizado pelo Checklist</t>
  </si>
  <si>
    <t xml:space="preserve">  STATUS POR MÓDULO</t>
  </si>
  <si>
    <t>MÓDULO</t>
  </si>
  <si>
    <t>RESPONSÁVEL</t>
  </si>
  <si>
    <t>STATUS</t>
  </si>
  <si>
    <t>% COMPLETO</t>
  </si>
  <si>
    <t>OBS.</t>
  </si>
  <si>
    <t>Perfil &amp; Posicionamento</t>
  </si>
  <si>
    <t>Julia Viana</t>
  </si>
  <si>
    <t>Em andamento</t>
  </si>
  <si>
    <t>Contrato &amp; Docs</t>
  </si>
  <si>
    <t>Concluido</t>
  </si>
  <si>
    <t>Mídia Kit &amp; Materiais</t>
  </si>
  <si>
    <t>Nao iniciado</t>
  </si>
  <si>
    <t>Marcas &amp; Metas</t>
  </si>
  <si>
    <t>Julia Maria</t>
  </si>
  <si>
    <t>Acesso &amp; Ferramentas</t>
  </si>
  <si>
    <t>Reunião de Alinhamento</t>
  </si>
  <si>
    <t xml:space="preserve">  LINHA DO TEMPO DO ONBOARDING</t>
  </si>
  <si>
    <t>ETAPA</t>
  </si>
  <si>
    <t>DATA PREVISTA</t>
  </si>
  <si>
    <t>DATA REAL</t>
  </si>
  <si>
    <t>OBSERVAÇÃO</t>
  </si>
  <si>
    <t>Assinatura do contrato</t>
  </si>
  <si>
    <t>Pendente</t>
  </si>
  <si>
    <t>Criação do grupo de WhatsApp</t>
  </si>
  <si>
    <t>Coleta de dados de onboarding</t>
  </si>
  <si>
    <t>Organização no Trello</t>
  </si>
  <si>
    <t>Criação do e-mail profissional</t>
  </si>
  <si>
    <t>Entrega do Mídia Kit</t>
  </si>
  <si>
    <t>Julia Viana + Rogler</t>
  </si>
  <si>
    <t>Atrasado</t>
  </si>
  <si>
    <t>Reunião de alinhamento fino</t>
  </si>
  <si>
    <t>Início das prospecções</t>
  </si>
  <si>
    <t>CHECKLIST GERAL DE ONBOARDING</t>
  </si>
  <si>
    <t>#</t>
  </si>
  <si>
    <t>TAREFA</t>
  </si>
  <si>
    <t>PRAZO</t>
  </si>
  <si>
    <t>CONCLUÍDO EM</t>
  </si>
  <si>
    <t xml:space="preserve">  PRÉ-ONBOARDING</t>
  </si>
  <si>
    <t>Lead qualificado e aprovado por Julia Viana</t>
  </si>
  <si>
    <t>Reunião de descoberta realizada com Julia Maria</t>
  </si>
  <si>
    <t>Formato e condições de assessoria definidos</t>
  </si>
  <si>
    <t>Proposta enviada e aceita pelo assessorado</t>
  </si>
  <si>
    <t xml:space="preserve">  CONTRATO &amp; DOCUMENTAÇÃO</t>
  </si>
  <si>
    <t>Contrato gerado conforme condições acordadas</t>
  </si>
  <si>
    <t>Contrato assinado por ambas as partes</t>
  </si>
  <si>
    <t>Contrato arquivado no Trello e Google Drive</t>
  </si>
  <si>
    <t>NDA assinado (se aplicável)</t>
  </si>
  <si>
    <t>Se necessário</t>
  </si>
  <si>
    <t xml:space="preserve">  ACESSO &amp; COMUNICAÇÃO</t>
  </si>
  <si>
    <t>Grupo de WhatsApp criado com o assessorado</t>
  </si>
  <si>
    <t>E-mail profissional operacional criado</t>
  </si>
  <si>
    <t>Ex: nome@viezes.com</t>
  </si>
  <si>
    <t>Assessorado adicionado nos grupos internos necessários</t>
  </si>
  <si>
    <t>Acesso ao Google Drive compartilhado</t>
  </si>
  <si>
    <t xml:space="preserve">  COLETA DE DADOS</t>
  </si>
  <si>
    <t>Bio completa recebida</t>
  </si>
  <si>
    <t>Posicionamento e nicho definidos</t>
  </si>
  <si>
    <t>Audiência mapeada (faixa etária, gênero, localização)</t>
  </si>
  <si>
    <t>Histórico de marcas já trabalhadas recebido</t>
  </si>
  <si>
    <t>Tabela de valores recebida e validada</t>
  </si>
  <si>
    <t>Agenda e disponibilidade informadas</t>
  </si>
  <si>
    <t>Restrições de marca e conteúdo listadas</t>
  </si>
  <si>
    <t>Metas de curto e longo prazo definidas</t>
  </si>
  <si>
    <t>Marcas dos sonhos listadas</t>
  </si>
  <si>
    <t>Contatos relevantes do assessorado mapeados</t>
  </si>
  <si>
    <t xml:space="preserve">  ORGANIZAÇÃO INTERNA</t>
  </si>
  <si>
    <t>Pasta criada no Trello com nome do assessorado</t>
  </si>
  <si>
    <t>Contrato salvo na pasta</t>
  </si>
  <si>
    <t>Briefing completo salvo na pasta</t>
  </si>
  <si>
    <t>Histórico de marcas salvo na pasta</t>
  </si>
  <si>
    <t>Contatos importantes cadastrados na pasta</t>
  </si>
  <si>
    <t>Assessorado cadastrado no CRM principal</t>
  </si>
  <si>
    <t xml:space="preserve">  MÍDIA KIT &amp; MATERIAIS</t>
  </si>
  <si>
    <t>Briefing de mídia kit enviado para Rogler</t>
  </si>
  <si>
    <t>Rascunho do mídia kit aprovado por Julia Maria</t>
  </si>
  <si>
    <t>Mídia kit final entregue</t>
  </si>
  <si>
    <t>Mídia kit salvo na pasta do assessorado</t>
  </si>
  <si>
    <t>PDF de apresentação criado (se necessário)</t>
  </si>
  <si>
    <t xml:space="preserve">  ALINHAMENTO &amp; METAS</t>
  </si>
  <si>
    <t>Reunião de alinhamento fino realizada</t>
  </si>
  <si>
    <t>Metas dos primeiros 30 dias definidas e registradas</t>
  </si>
  <si>
    <t>Plano de prospecção inicial elaborado</t>
  </si>
  <si>
    <t>Primeiras marcas a prospectar definidas</t>
  </si>
  <si>
    <t>Data de início das prospecções definida</t>
  </si>
  <si>
    <t>PROGRESSO TOTAL DO ONBOARDING:</t>
  </si>
  <si>
    <t>PERFIL DO ASSESSORADO</t>
  </si>
  <si>
    <t xml:space="preserve">  DADOS PESSOAIS E PROFISSIONAIS</t>
  </si>
  <si>
    <t>Nome completo</t>
  </si>
  <si>
    <t>Pedro Henrique Marçal Oliveira</t>
  </si>
  <si>
    <t>Nome artístico / @</t>
  </si>
  <si>
    <t>P7</t>
  </si>
  <si>
    <t>Data de nascimento</t>
  </si>
  <si>
    <t>CPF / CNPJ</t>
  </si>
  <si>
    <t>Telefone</t>
  </si>
  <si>
    <t>(31) 99667-2061</t>
  </si>
  <si>
    <t>E-mail pessoal</t>
  </si>
  <si>
    <t>E-mail profissional</t>
  </si>
  <si>
    <t>p7,viezes@gmail.com</t>
  </si>
  <si>
    <t>Cidade / Estado</t>
  </si>
  <si>
    <t>Belo Horizonte</t>
  </si>
  <si>
    <t>CEP</t>
  </si>
  <si>
    <t>Endereço completo</t>
  </si>
  <si>
    <t xml:space="preserve">Rua Passos 802, ap 302 - Crlos Prates </t>
  </si>
  <si>
    <t xml:space="preserve">  DADOS BANCÁRIOS</t>
  </si>
  <si>
    <t>Banco</t>
  </si>
  <si>
    <t>Agência</t>
  </si>
  <si>
    <t>Conta</t>
  </si>
  <si>
    <t>Tipo de conta</t>
  </si>
  <si>
    <t>PIX</t>
  </si>
  <si>
    <t>Titular da conta</t>
  </si>
  <si>
    <t xml:space="preserve">  REDES SOCIAIS &amp; AUDIÊNCIA</t>
  </si>
  <si>
    <t>PLATAFORMA</t>
  </si>
  <si>
    <t>USUÁRIO / @</t>
  </si>
  <si>
    <t>SEGUIDORES</t>
  </si>
  <si>
    <t>ENGAJAMENTO %</t>
  </si>
  <si>
    <t>ALCANCE MÉD.</t>
  </si>
  <si>
    <t>PÚBLICO PRINC.</t>
  </si>
  <si>
    <t>CRESCIMENTO/MÊS</t>
  </si>
  <si>
    <t>Instagram</t>
  </si>
  <si>
    <t>@pe7dro</t>
  </si>
  <si>
    <t>TikTok</t>
  </si>
  <si>
    <t>YouTube</t>
  </si>
  <si>
    <t>Twitter / X</t>
  </si>
  <si>
    <t>Pinterest</t>
  </si>
  <si>
    <t>LinkedIn</t>
  </si>
  <si>
    <t>Kwai</t>
  </si>
  <si>
    <t>Outro</t>
  </si>
  <si>
    <t xml:space="preserve">  BIO E POSICIONAMENTO</t>
  </si>
  <si>
    <t>Bio curta (até 3 linhas — usada no mídia kit):</t>
  </si>
  <si>
    <t>Posicionamento (nicho, proposta de valor, diferenciais):</t>
  </si>
  <si>
    <t>CONTRATO &amp; DOCUMENTAÇÃO</t>
  </si>
  <si>
    <t xml:space="preserve">  DADOS DO CONTRATO</t>
  </si>
  <si>
    <t>Modelo de contrato</t>
  </si>
  <si>
    <t>Data de assinatura</t>
  </si>
  <si>
    <t>Vigência do contrato</t>
  </si>
  <si>
    <t>Formato da assessoria</t>
  </si>
  <si>
    <t>Valor mensal (R$)</t>
  </si>
  <si>
    <t>Comissão acordada</t>
  </si>
  <si>
    <t>Forma de pagamento</t>
  </si>
  <si>
    <t>Dia de vencimento</t>
  </si>
  <si>
    <t>Cláusula de exclusividade</t>
  </si>
  <si>
    <t>Prazo de aviso prévio</t>
  </si>
  <si>
    <t>Foro eleito</t>
  </si>
  <si>
    <t xml:space="preserve">  CHECKLIST DOCUMENTAL</t>
  </si>
  <si>
    <t>DOCUMENTO</t>
  </si>
  <si>
    <t>RECEBIDO?</t>
  </si>
  <si>
    <t>DATA</t>
  </si>
  <si>
    <t>Contrato assinado (PDF)</t>
  </si>
  <si>
    <t>RG ou CNH (frente e verso)</t>
  </si>
  <si>
    <t>CPF</t>
  </si>
  <si>
    <t>Comprovante de residência</t>
  </si>
  <si>
    <t>Contrato social (se PJ)</t>
  </si>
  <si>
    <t>Cartão CNPJ (se PJ)</t>
  </si>
  <si>
    <t>Autorização de uso de imagem</t>
  </si>
  <si>
    <t>Dados bancários confirmados</t>
  </si>
  <si>
    <t xml:space="preserve">  OBSERVAÇÕES GERAIS DO CONTRATO</t>
  </si>
  <si>
    <t>MÍDIA KIT &amp; MATERIAIS</t>
  </si>
  <si>
    <t xml:space="preserve">  TABELA DE VALORES</t>
  </si>
  <si>
    <t>FORMATO</t>
  </si>
  <si>
    <t>DESCRIÇÃO</t>
  </si>
  <si>
    <t>VALOR (R$)</t>
  </si>
  <si>
    <t>COMBO?</t>
  </si>
  <si>
    <t>INCLUI REPOST?</t>
  </si>
  <si>
    <t>PRAZO ENTREGA</t>
  </si>
  <si>
    <t>Story (1 frame)</t>
  </si>
  <si>
    <t>Story (3 frames)</t>
  </si>
  <si>
    <t>Reels</t>
  </si>
  <si>
    <t>Feed (foto)</t>
  </si>
  <si>
    <t>Feed (carrossel)</t>
  </si>
  <si>
    <t>Live</t>
  </si>
  <si>
    <t>Video</t>
  </si>
  <si>
    <t>Video dedicado</t>
  </si>
  <si>
    <t>Menção</t>
  </si>
  <si>
    <t>Short</t>
  </si>
  <si>
    <t>Post</t>
  </si>
  <si>
    <t>Pin patrocinado</t>
  </si>
  <si>
    <t xml:space="preserve">  RESTRIÇÕES DE MARCA E CONTEÚDO</t>
  </si>
  <si>
    <t>Marcas concorrentes (não pode trabalhar com):</t>
  </si>
  <si>
    <t>Categorias de produto que não aceita:</t>
  </si>
  <si>
    <t>Pautas e temas que não aborda:</t>
  </si>
  <si>
    <t>Restrições de imagem (ex: não aparece sem maquiagem, não mostra filhos):</t>
  </si>
  <si>
    <t>Outras restrições importantes:</t>
  </si>
  <si>
    <t xml:space="preserve">  CHECKLIST DE MATERIAIS</t>
  </si>
  <si>
    <t>MATERIAL</t>
  </si>
  <si>
    <t>DATA ENTREGA</t>
  </si>
  <si>
    <t>Mídia kit completo (PDF)</t>
  </si>
  <si>
    <t>Rogler</t>
  </si>
  <si>
    <t>Fotos profissionais para mídia kit</t>
  </si>
  <si>
    <t>Assessorado</t>
  </si>
  <si>
    <t>Logo ou marca pessoal</t>
  </si>
  <si>
    <t>Kit de stories / templates</t>
  </si>
  <si>
    <t>Apresentação de marca (pitch deck)</t>
  </si>
  <si>
    <t>Lista de marcas dos sonhos</t>
  </si>
  <si>
    <t>Histórico de métricas (prints)</t>
  </si>
  <si>
    <t>MARCAS DESEJADAS &amp; METAS</t>
  </si>
  <si>
    <t xml:space="preserve">  MARCAS DOS SONHOS (TOP 10)</t>
  </si>
  <si>
    <t>MARCA</t>
  </si>
  <si>
    <t>SEGMENTO</t>
  </si>
  <si>
    <t>MOTIVO / AFINIDADE</t>
  </si>
  <si>
    <t>CONTATO CONHECIDO?</t>
  </si>
  <si>
    <t>PRIORIDADE</t>
  </si>
  <si>
    <t>VALOR ESTIMADO (R$)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</si>
  <si>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</si>
  <si>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</si>
  <si>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</si>
  <si>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</si>
  <si>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</si>
  <si>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</si>
  <si>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</si>
  <si>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</si>
  <si>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</si>
  <si>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</si>
  <si>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 xml:space="preserve">  MARCAS JÁ TRABALHADAS (HISTÓRICO)</t>
  </si>
  <si>
    <t>ANO/PERÍODO</t>
  </si>
  <si>
    <t>VALOR RECEBIDO (R$)</t>
  </si>
  <si>
    <t>GEROU RENOVAÇÃO?</t>
  </si>
  <si>
    <t>CONTATO NA MARCA</t>
  </si>
  <si>
    <t xml:space="preserve">  METAS</t>
  </si>
  <si>
    <t>PERÍODO</t>
  </si>
  <si>
    <t>META</t>
  </si>
  <si>
    <t>INDICADOR</t>
  </si>
  <si>
    <t>META NUMÉRICA</t>
  </si>
  <si>
    <t>ATUAL</t>
  </si>
  <si>
    <t>30 dias</t>
  </si>
  <si>
    <t>60 dias</t>
  </si>
  <si>
    <t>90 dias</t>
  </si>
  <si>
    <t>6 meses</t>
  </si>
  <si>
    <t>1 ano</t>
  </si>
  <si>
    <t>ACESSOS &amp; FERRAMENTAS</t>
  </si>
  <si>
    <t xml:space="preserve">  ACESSOS CRIADOS E COMPARTILHADOS</t>
  </si>
  <si>
    <t>FERRAMENTA/PLATAFORMA</t>
  </si>
  <si>
    <t>USUÁRIO / E-MAIL</t>
  </si>
  <si>
    <t>SENHA/ACESSO</t>
  </si>
  <si>
    <t>COMPARTILHADO COM</t>
  </si>
  <si>
    <t>E-mail profissional (Viezes)</t>
  </si>
  <si>
    <t>WhatsApp Business</t>
  </si>
  <si>
    <t>Google Drive — pasta do assessorado</t>
  </si>
  <si>
    <t>Trello — card do assessorado</t>
  </si>
  <si>
    <t>Instagram Business (acesso de parceiro)</t>
  </si>
  <si>
    <t>TikTok Creator Marketplace</t>
  </si>
  <si>
    <t>YouTube Studio</t>
  </si>
  <si>
    <t>Planilha de onboarding (este doc)</t>
  </si>
  <si>
    <t>CRM da Viezes</t>
  </si>
  <si>
    <t>Linktree / link na bio</t>
  </si>
  <si>
    <t>Canva (acesso de edição)</t>
  </si>
  <si>
    <t xml:space="preserve">  AGENDA E DISPONIBILIDADE</t>
  </si>
  <si>
    <t>DIA DA SEMANA</t>
  </si>
  <si>
    <t>DISPONÍVEL?</t>
  </si>
  <si>
    <t>HORÁRIO INÍCIO</t>
  </si>
  <si>
    <t>HORÁRIO FIM</t>
  </si>
  <si>
    <t>GRAVAÇÕES?</t>
  </si>
  <si>
    <t>EVENTOS/VIAGENS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</si>
  <si>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</si>
  <si>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</si>
  <si>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</si>
  <si>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</si>
  <si>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</si>
  <si>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</si>
  <si>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</si>
  <si>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 xml:space="preserve">  OBSERVAÇÕES DE AGENDA</t>
  </si>
  <si>
    <t>REUNIÃO DE ALINHAMENTO FINO</t>
  </si>
  <si>
    <t xml:space="preserve">  DADOS DA REUNIÃO</t>
  </si>
  <si>
    <t>Data da reunião</t>
  </si>
  <si>
    <t>Horário</t>
  </si>
  <si>
    <t>Formato (online/pres)</t>
  </si>
  <si>
    <t>Participantes</t>
  </si>
  <si>
    <t>Link da reunião</t>
  </si>
  <si>
    <t xml:space="preserve">  PAUTAS DA REUNIÃO</t>
  </si>
  <si>
    <t>PAUTA</t>
  </si>
  <si>
    <t>DISCUTIDO?</t>
  </si>
  <si>
    <t>DECISÃO/ENCAMINHAMENTO</t>
  </si>
  <si>
    <t>Apresentação da equipe Viezes e papéis de cada uma</t>
  </si>
  <si>
    <t>Nao</t>
  </si>
  <si>
    <t>Como funciona o dia a dia da assessoria</t>
  </si>
  <si>
    <t>Processo de prospecção de marcas</t>
  </si>
  <si>
    <t>Como são as negociações e os fechamentos</t>
  </si>
  <si>
    <t>Briefing de criação de conteúdo patrocinado</t>
  </si>
  <si>
    <t>Comunicação e tempo de resposta esperados</t>
  </si>
  <si>
    <t>Revisão das metas dos próximos 30 dias</t>
  </si>
  <si>
    <t>Primeiras marcas a serem prospectadas</t>
  </si>
  <si>
    <t>Dúvidas e alinhamentos finais</t>
  </si>
  <si>
    <t xml:space="preserve">  METAS DEFINIDAS — PRÓXIMOS 30 DIAS</t>
  </si>
  <si>
    <t>VALOR ALVO</t>
  </si>
  <si>
    <t xml:space="preserve">  ANOTAÇÕES DA REUNIÃO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</si>
</sst>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&quot;R$ &quot;#,##0.00"/>
  </numFmts>
  <fonts count="25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9B7FD4"/>
      <name val="Arial"/>
    </font>
    <font>
      <b/>
      <sz val="12.0"/>
      <color rgb="FFFFFFFF"/>
      <name val="Arial"/>
    </font>
    <font>
      <b/>
      <sz val="13.0"/>
      <color rgb="FF2D1B5E"/>
      <name val="Arial"/>
    </font>
    <font>
      <b/>
      <sz val="10.0"/>
      <color rgb="FFFFFFFF"/>
      <name val="Arial"/>
    </font>
    <font>
      <sz val="10.0"/>
      <color rgb="FF2C2C2C"/>
      <name val="Arial"/>
    </font>
    <font>
      <color theme="1"/>
      <name val="Calibri"/>
      <scheme val="minor"/>
    </font>
    <font>
      <b/>
      <sz val="8.0"/>
      <color rgb="FFFFFFFF"/>
      <name val="Arial"/>
    </font>
    <font>
      <b/>
      <sz val="20.0"/>
      <color rgb="FFFFFFFF"/>
      <name val="Arial"/>
    </font>
    <font>
      <i/>
      <sz val="7.0"/>
      <color rgb="FFFFFFFF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10.0"/>
      <color rgb="FF2C2C2C"/>
      <name val="Arial"/>
    </font>
    <font>
      <sz val="10.0"/>
      <color rgb="FF5B3FA0"/>
      <name val="Arial"/>
    </font>
    <font>
      <sz val="10.0"/>
      <color rgb="FF666666"/>
      <name val="Arial"/>
    </font>
    <font>
      <i/>
      <sz val="9.0"/>
      <color rgb="FF666666"/>
      <name val="Arial"/>
    </font>
    <font>
      <b/>
      <sz val="10.0"/>
      <color rgb="FF5B3FA0"/>
      <name val="Arial"/>
    </font>
    <font>
      <sz val="11.0"/>
      <color theme="1"/>
      <name val="Calibri"/>
    </font>
    <font>
      <b/>
      <sz val="9.0"/>
      <color rgb="FF9B7FD4"/>
      <name val="Arial"/>
    </font>
    <font>
      <sz val="11.0"/>
      <color rgb="FF2C2C2C"/>
      <name val="Arial"/>
    </font>
    <font>
      <b/>
      <sz val="14.0"/>
      <color rgb="FFFFFFFF"/>
      <name val="Arial"/>
    </font>
    <font>
      <b/>
      <sz val="10.0"/>
      <color rgb="FF2D1B5E"/>
      <name val="Arial"/>
    </font>
    <font>
      <b/>
      <sz val="10.0"/>
      <color rgb="FF9B7FD4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D1B5E"/>
        <bgColor rgb="FF2D1B5E"/>
      </patternFill>
    </fill>
    <fill>
      <patternFill patternType="solid">
        <fgColor rgb="FF5B3FA0"/>
        <bgColor rgb="FF5B3FA0"/>
      </patternFill>
    </fill>
    <fill>
      <patternFill patternType="solid">
        <fgColor rgb="FFEDE7FF"/>
        <bgColor rgb="FFEDE7FF"/>
      </patternFill>
    </fill>
    <fill>
      <patternFill patternType="solid">
        <fgColor rgb="FF1A6B3C"/>
        <bgColor rgb="FF1A6B3C"/>
      </patternFill>
    </fill>
    <fill>
      <patternFill patternType="solid">
        <fgColor rgb="FFC0392B"/>
        <bgColor rgb="FFC0392B"/>
      </patternFill>
    </fill>
    <fill>
      <patternFill patternType="solid">
        <fgColor rgb="FFFFFFFF"/>
        <bgColor rgb="FFFFFFFF"/>
      </patternFill>
    </fill>
    <fill>
      <patternFill patternType="solid">
        <fgColor rgb="FF9B7FD4"/>
        <bgColor rgb="FF9B7FD4"/>
      </patternFill>
    </fill>
  </fills>
  <borders count="2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medium">
        <color rgb="FF5B3FA0"/>
      </left>
      <top style="medium">
        <color rgb="FF5B3FA0"/>
      </top>
      <bottom style="medium">
        <color rgb="FF5B3FA0"/>
      </bottom>
    </border>
    <border>
      <top style="medium">
        <color rgb="FF5B3FA0"/>
      </top>
      <bottom style="medium">
        <color rgb="FF5B3FA0"/>
      </bottom>
    </border>
    <border>
      <right/>
      <top style="medium">
        <color rgb="FF5B3FA0"/>
      </top>
      <bottom style="medium">
        <color rgb="FF5B3FA0"/>
      </bottom>
    </border>
    <border>
      <left style="medium">
        <color rgb="FF5B3FA0"/>
      </left>
      <right style="medium">
        <color rgb="FF5B3FA0"/>
      </right>
      <top style="medium">
        <color rgb="FF5B3FA0"/>
      </top>
      <bottom style="medium">
        <color rgb="FF5B3FA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medium">
        <color rgb="FF9900FF"/>
      </right>
      <top style="medium">
        <color rgb="FF5B3FA0"/>
      </top>
      <bottom style="medium">
        <color rgb="FF5B3FA0"/>
      </bottom>
    </border>
    <border>
      <right style="medium">
        <color rgb="FF9900FF"/>
      </right>
      <top/>
      <bottom/>
    </border>
    <border>
      <bottom style="medium">
        <color rgb="FF9900FF"/>
      </bottom>
    </border>
    <border>
      <right style="medium">
        <color rgb="FF9900FF"/>
      </right>
      <bottom style="medium">
        <color rgb="FF9900FF"/>
      </bottom>
    </border>
    <border>
      <right style="medium">
        <color rgb="FF9900FF"/>
      </right>
    </border>
    <border>
      <left style="medium">
        <color rgb="FF5B3FA0"/>
      </left>
      <top style="medium">
        <color rgb="FF5B3FA0"/>
      </top>
      <bottom style="medium">
        <color rgb="FF9900FF"/>
      </bottom>
    </border>
    <border>
      <top style="medium">
        <color rgb="FF5B3FA0"/>
      </top>
      <bottom style="medium">
        <color rgb="FF9900FF"/>
      </bottom>
    </border>
    <border>
      <right style="medium">
        <color rgb="FF9900FF"/>
      </right>
      <top style="medium">
        <color rgb="FF5B3FA0"/>
      </top>
      <bottom style="medium">
        <color rgb="FF9900FF"/>
      </bottom>
    </border>
    <border>
      <left style="medium">
        <color rgb="FF5B3FA0"/>
      </left>
      <bottom style="medium">
        <color rgb="FF5B3FA0"/>
      </bottom>
    </border>
    <border>
      <bottom style="medium">
        <color rgb="FF5B3FA0"/>
      </bottom>
    </border>
    <border>
      <right style="medium">
        <color rgb="FF9900FF"/>
      </right>
      <bottom style="medium">
        <color rgb="FF5B3FA0"/>
      </bottom>
    </border>
    <border>
      <left style="medium">
        <color rgb="FF9900FF"/>
      </left>
      <bottom style="medium">
        <color rgb="FF9900FF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4" fillId="3" fontId="4" numFmtId="0" xfId="0" applyAlignment="1" applyBorder="1" applyFill="1" applyFont="1">
      <alignment horizontal="right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4" fontId="5" numFmtId="0" xfId="0" applyAlignment="1" applyBorder="1" applyFill="1" applyFont="1">
      <alignment horizontal="left" readingOrder="0" shrinkToFit="0" vertical="center" wrapText="0"/>
    </xf>
    <xf borderId="8" fillId="0" fontId="2" numFmtId="0" xfId="0" applyBorder="1" applyFont="1"/>
    <xf borderId="9" fillId="0" fontId="2" numFmtId="0" xfId="0" applyBorder="1" applyFont="1"/>
    <xf borderId="4" fillId="3" fontId="6" numFmtId="0" xfId="0" applyAlignment="1" applyBorder="1" applyFont="1">
      <alignment horizontal="right" shrinkToFit="0" vertical="center" wrapText="0"/>
    </xf>
    <xf borderId="10" fillId="4" fontId="7" numFmtId="164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readingOrder="0"/>
    </xf>
    <xf borderId="1" fillId="2" fontId="9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center" wrapText="0"/>
    </xf>
    <xf borderId="1" fillId="5" fontId="9" numFmtId="0" xfId="0" applyAlignment="1" applyBorder="1" applyFill="1" applyFont="1">
      <alignment horizontal="center" shrinkToFit="0" vertical="center" wrapText="0"/>
    </xf>
    <xf borderId="1" fillId="6" fontId="9" numFmtId="0" xfId="0" applyAlignment="1" applyBorder="1" applyFill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3" fontId="10" numFmtId="9" xfId="0" applyAlignment="1" applyBorder="1" applyFont="1" applyNumberFormat="1">
      <alignment horizontal="center" shrinkToFit="0" vertical="center" wrapText="0"/>
    </xf>
    <xf borderId="1" fillId="5" fontId="10" numFmtId="0" xfId="0" applyAlignment="1" applyBorder="1" applyFont="1">
      <alignment horizontal="center" shrinkToFit="0" vertical="center" wrapText="0"/>
    </xf>
    <xf borderId="1" fillId="6" fontId="10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5" fontId="11" numFmtId="0" xfId="0" applyAlignment="1" applyBorder="1" applyFont="1">
      <alignment horizontal="center" shrinkToFit="0" vertical="center" wrapText="0"/>
    </xf>
    <xf borderId="1" fillId="6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2" fontId="1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2" fontId="13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readingOrder="0" shrinkToFit="0" vertical="center" wrapText="0"/>
    </xf>
    <xf borderId="4" fillId="4" fontId="16" numFmtId="0" xfId="0" applyAlignment="1" applyBorder="1" applyFont="1">
      <alignment horizontal="center" shrinkToFit="0" vertical="center" wrapText="0"/>
    </xf>
    <xf borderId="12" fillId="4" fontId="17" numFmtId="0" xfId="0" applyAlignment="1" applyBorder="1" applyFont="1">
      <alignment horizontal="left" shrinkToFit="0" vertical="center" wrapText="1"/>
    </xf>
    <xf borderId="4" fillId="7" fontId="14" numFmtId="0" xfId="0" applyAlignment="1" applyBorder="1" applyFill="1" applyFont="1">
      <alignment horizontal="left" shrinkToFit="0" vertical="center" wrapText="1"/>
    </xf>
    <xf borderId="4" fillId="7" fontId="15" numFmtId="0" xfId="0" applyAlignment="1" applyBorder="1" applyFont="1">
      <alignment horizontal="center" shrinkToFit="0" vertical="center" wrapText="0"/>
    </xf>
    <xf borderId="4" fillId="7" fontId="7" numFmtId="0" xfId="0" applyAlignment="1" applyBorder="1" applyFont="1">
      <alignment horizontal="center" readingOrder="0" shrinkToFit="0" vertical="center" wrapText="0"/>
    </xf>
    <xf borderId="4" fillId="7" fontId="16" numFmtId="0" xfId="0" applyAlignment="1" applyBorder="1" applyFont="1">
      <alignment horizontal="center" shrinkToFit="0" vertical="center" wrapText="0"/>
    </xf>
    <xf borderId="12" fillId="7" fontId="17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center" shrinkToFit="0" vertical="center" wrapText="0"/>
    </xf>
    <xf borderId="4" fillId="7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left" shrinkToFit="0" vertical="center" wrapText="1"/>
    </xf>
    <xf borderId="12" fillId="4" fontId="16" numFmtId="164" xfId="0" applyAlignment="1" applyBorder="1" applyFont="1" applyNumberFormat="1">
      <alignment horizontal="center" shrinkToFit="0" vertical="center" wrapText="0"/>
    </xf>
    <xf borderId="12" fillId="4" fontId="18" numFmtId="0" xfId="0" applyAlignment="1" applyBorder="1" applyFont="1">
      <alignment horizontal="center" shrinkToFit="0" vertical="center" wrapText="0"/>
    </xf>
    <xf borderId="4" fillId="7" fontId="7" numFmtId="0" xfId="0" applyAlignment="1" applyBorder="1" applyFont="1">
      <alignment horizontal="left" shrinkToFit="0" vertical="center" wrapText="1"/>
    </xf>
    <xf borderId="12" fillId="7" fontId="16" numFmtId="164" xfId="0" applyAlignment="1" applyBorder="1" applyFont="1" applyNumberFormat="1">
      <alignment horizontal="center" shrinkToFit="0" vertical="center" wrapText="0"/>
    </xf>
    <xf borderId="12" fillId="7" fontId="18" numFmtId="0" xfId="0" applyAlignment="1" applyBorder="1" applyFont="1">
      <alignment horizontal="center" shrinkToFit="0" vertical="center" wrapText="0"/>
    </xf>
    <xf borderId="0" fillId="0" fontId="8" numFmtId="0" xfId="0" applyFont="1"/>
    <xf borderId="0" fillId="0" fontId="19" numFmtId="9" xfId="0" applyAlignment="1" applyFont="1" applyNumberFormat="1">
      <alignment shrinkToFit="0" vertical="bottom" wrapText="0"/>
    </xf>
    <xf borderId="0" fillId="0" fontId="19" numFmtId="0" xfId="0" applyAlignment="1" applyFont="1">
      <alignment shrinkToFit="0" vertical="bottom" wrapText="0"/>
    </xf>
    <xf borderId="4" fillId="2" fontId="12" numFmtId="0" xfId="0" applyAlignment="1" applyBorder="1" applyFont="1">
      <alignment horizontal="left" shrinkToFit="0" vertical="center" wrapText="0"/>
    </xf>
    <xf borderId="12" fillId="4" fontId="20" numFmtId="0" xfId="0" applyAlignment="1" applyBorder="1" applyFont="1">
      <alignment horizontal="center" shrinkToFit="0" vertical="center" wrapText="0"/>
    </xf>
    <xf borderId="12" fillId="4" fontId="21" numFmtId="0" xfId="0" applyAlignment="1" applyBorder="1" applyFont="1">
      <alignment horizontal="center" readingOrder="0" shrinkToFit="0" vertical="center" wrapText="0"/>
    </xf>
    <xf borderId="12" fillId="4" fontId="7" numFmtId="0" xfId="0" applyAlignment="1" applyBorder="1" applyFont="1">
      <alignment horizontal="left" shrinkToFit="0" vertical="center" wrapText="1"/>
    </xf>
    <xf borderId="12" fillId="4" fontId="16" numFmtId="0" xfId="0" applyAlignment="1" applyBorder="1" applyFont="1">
      <alignment horizontal="center" shrinkToFit="0" vertical="center" wrapText="0"/>
    </xf>
    <xf borderId="12" fillId="7" fontId="20" numFmtId="0" xfId="0" applyAlignment="1" applyBorder="1" applyFont="1">
      <alignment horizontal="center" shrinkToFit="0" vertical="center" wrapText="0"/>
    </xf>
    <xf borderId="12" fillId="7" fontId="21" numFmtId="0" xfId="0" applyAlignment="1" applyBorder="1" applyFont="1">
      <alignment horizontal="center" readingOrder="0" shrinkToFit="0" vertical="center" wrapText="0"/>
    </xf>
    <xf borderId="12" fillId="7" fontId="7" numFmtId="0" xfId="0" applyAlignment="1" applyBorder="1" applyFont="1">
      <alignment horizontal="left" shrinkToFit="0" vertical="center" wrapText="1"/>
    </xf>
    <xf borderId="12" fillId="7" fontId="16" numFmtId="0" xfId="0" applyAlignment="1" applyBorder="1" applyFont="1">
      <alignment horizontal="center" shrinkToFit="0" vertical="center" wrapText="0"/>
    </xf>
    <xf borderId="4" fillId="8" fontId="12" numFmtId="0" xfId="0" applyAlignment="1" applyBorder="1" applyFill="1" applyFont="1">
      <alignment horizontal="left" shrinkToFit="0" vertical="center" wrapText="0"/>
    </xf>
    <xf borderId="4" fillId="5" fontId="12" numFmtId="0" xfId="0" applyAlignment="1" applyBorder="1" applyFont="1">
      <alignment horizontal="left" shrinkToFit="0" vertical="center" wrapText="0"/>
    </xf>
    <xf borderId="4" fillId="2" fontId="12" numFmtId="0" xfId="0" applyAlignment="1" applyBorder="1" applyFont="1">
      <alignment horizontal="right" shrinkToFit="0" vertical="center" wrapText="0"/>
    </xf>
    <xf borderId="7" fillId="5" fontId="22" numFmtId="9" xfId="0" applyAlignment="1" applyBorder="1" applyFont="1" applyNumberFormat="1">
      <alignment horizontal="center" shrinkToFit="0" vertical="center" wrapText="0"/>
    </xf>
    <xf borderId="4" fillId="4" fontId="23" numFmtId="0" xfId="0" applyAlignment="1" applyBorder="1" applyFont="1">
      <alignment horizontal="right" shrinkToFit="0" vertical="center" wrapText="0"/>
    </xf>
    <xf borderId="7" fillId="7" fontId="7" numFmtId="0" xfId="0" applyAlignment="1" applyBorder="1" applyFont="1">
      <alignment horizontal="left" readingOrder="0" shrinkToFit="0" vertical="center" wrapText="0"/>
    </xf>
    <xf borderId="13" fillId="0" fontId="2" numFmtId="0" xfId="0" applyBorder="1" applyFont="1"/>
    <xf borderId="7" fillId="7" fontId="7" numFmtId="165" xfId="0" applyAlignment="1" applyBorder="1" applyFont="1" applyNumberFormat="1">
      <alignment horizontal="left" readingOrder="0" shrinkToFit="0" vertical="center" wrapText="0"/>
    </xf>
    <xf borderId="7" fillId="7" fontId="7" numFmtId="0" xfId="0" applyAlignment="1" applyBorder="1" applyFont="1">
      <alignment horizontal="left" shrinkToFit="0" vertical="center" wrapText="0"/>
    </xf>
    <xf borderId="12" fillId="4" fontId="14" numFmtId="0" xfId="0" applyAlignment="1" applyBorder="1" applyFont="1">
      <alignment horizontal="left" shrinkToFit="0" vertical="center" wrapText="0"/>
    </xf>
    <xf borderId="12" fillId="4" fontId="7" numFmtId="0" xfId="0" applyAlignment="1" applyBorder="1" applyFont="1">
      <alignment horizontal="center" readingOrder="0" shrinkToFit="0" vertical="center" wrapText="0"/>
    </xf>
    <xf borderId="12" fillId="4" fontId="7" numFmtId="0" xfId="0" applyAlignment="1" applyBorder="1" applyFont="1">
      <alignment horizontal="center" shrinkToFit="0" vertical="center" wrapText="0"/>
    </xf>
    <xf borderId="12" fillId="7" fontId="14" numFmtId="0" xfId="0" applyAlignment="1" applyBorder="1" applyFont="1">
      <alignment horizontal="left" shrinkToFit="0" vertical="center" wrapText="0"/>
    </xf>
    <xf borderId="12" fillId="7" fontId="7" numFmtId="0" xfId="0" applyAlignment="1" applyBorder="1" applyFont="1">
      <alignment horizontal="center" shrinkToFit="0" vertical="center" wrapText="0"/>
    </xf>
    <xf borderId="1" fillId="4" fontId="23" numFmtId="0" xfId="0" applyAlignment="1" applyBorder="1" applyFont="1">
      <alignment horizontal="left" shrinkToFit="0" vertical="center" wrapText="0"/>
    </xf>
    <xf borderId="14" fillId="0" fontId="2" numFmtId="0" xfId="0" applyBorder="1" applyFont="1"/>
    <xf borderId="7" fillId="7" fontId="7" numFmtId="0" xfId="0" applyAlignment="1" applyBorder="1" applyFont="1">
      <alignment horizontal="left" shrinkToFit="0" vertical="top" wrapText="1"/>
    </xf>
    <xf borderId="15" fillId="0" fontId="8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8" numFmtId="0" xfId="0" applyBorder="1" applyFont="1"/>
    <xf borderId="18" fillId="7" fontId="7" numFmtId="0" xfId="0" applyAlignment="1" applyBorder="1" applyFont="1">
      <alignment horizontal="left" shrinkToFit="0" vertical="center" wrapText="0"/>
    </xf>
    <xf borderId="19" fillId="0" fontId="2" numFmtId="0" xfId="0" applyBorder="1" applyFont="1"/>
    <xf borderId="20" fillId="0" fontId="2" numFmtId="0" xfId="0" applyBorder="1" applyFont="1"/>
    <xf borderId="21" fillId="7" fontId="7" numFmtId="0" xfId="0" applyAlignment="1" applyBorder="1" applyFont="1">
      <alignment horizontal="left" shrinkToFit="0" vertical="center" wrapText="0"/>
    </xf>
    <xf borderId="22" fillId="0" fontId="2" numFmtId="0" xfId="0" applyBorder="1" applyFont="1"/>
    <xf borderId="23" fillId="0" fontId="2" numFmtId="0" xfId="0" applyBorder="1" applyFont="1"/>
    <xf borderId="24" fillId="0" fontId="8" numFmtId="0" xfId="0" applyBorder="1" applyFont="1"/>
    <xf borderId="12" fillId="4" fontId="7" numFmtId="0" xfId="0" applyAlignment="1" applyBorder="1" applyFont="1">
      <alignment horizontal="left" shrinkToFit="0" vertical="center" wrapText="0"/>
    </xf>
    <xf borderId="12" fillId="4" fontId="7" numFmtId="166" xfId="0" applyAlignment="1" applyBorder="1" applyFont="1" applyNumberFormat="1">
      <alignment horizontal="center" shrinkToFit="0" vertical="center" wrapText="0"/>
    </xf>
    <xf borderId="12" fillId="7" fontId="7" numFmtId="0" xfId="0" applyAlignment="1" applyBorder="1" applyFont="1">
      <alignment horizontal="left" shrinkToFit="0" vertical="center" wrapText="0"/>
    </xf>
    <xf borderId="12" fillId="7" fontId="7" numFmtId="166" xfId="0" applyAlignment="1" applyBorder="1" applyFont="1" applyNumberFormat="1">
      <alignment horizontal="center" shrinkToFit="0" vertical="center" wrapText="0"/>
    </xf>
    <xf borderId="7" fillId="7" fontId="7" numFmtId="0" xfId="0" applyAlignment="1" applyBorder="1" applyFont="1">
      <alignment horizontal="left" shrinkToFit="0" vertical="center" wrapText="1"/>
    </xf>
    <xf borderId="12" fillId="4" fontId="24" numFmtId="0" xfId="0" applyAlignment="1" applyBorder="1" applyFont="1">
      <alignment horizontal="center" shrinkToFit="0" vertical="center" wrapText="0"/>
    </xf>
    <xf borderId="12" fillId="4" fontId="7" numFmtId="0" xfId="0" applyAlignment="1" applyBorder="1" applyFont="1">
      <alignment horizontal="center" shrinkToFit="0" vertical="center" wrapText="1"/>
    </xf>
    <xf borderId="12" fillId="4" fontId="7" numFmtId="166" xfId="0" applyAlignment="1" applyBorder="1" applyFont="1" applyNumberFormat="1">
      <alignment horizontal="center" shrinkToFit="0" vertical="center" wrapText="1"/>
    </xf>
    <xf borderId="12" fillId="7" fontId="24" numFmtId="0" xfId="0" applyAlignment="1" applyBorder="1" applyFont="1">
      <alignment horizontal="center" shrinkToFit="0" vertical="center" wrapText="0"/>
    </xf>
    <xf borderId="12" fillId="7" fontId="7" numFmtId="0" xfId="0" applyAlignment="1" applyBorder="1" applyFont="1">
      <alignment horizontal="center" shrinkToFit="0" vertical="center" wrapText="1"/>
    </xf>
    <xf borderId="12" fillId="7" fontId="7" numFmtId="166" xfId="0" applyAlignment="1" applyBorder="1" applyFont="1" applyNumberFormat="1">
      <alignment horizontal="center" shrinkToFit="0" vertical="center" wrapText="1"/>
    </xf>
    <xf borderId="12" fillId="4" fontId="7" numFmtId="164" xfId="0" applyAlignment="1" applyBorder="1" applyFont="1" applyNumberFormat="1">
      <alignment horizontal="center" shrinkToFit="0" vertical="center" wrapText="1"/>
    </xf>
    <xf borderId="12" fillId="7" fontId="7" numFmtId="164" xfId="0" applyAlignment="1" applyBorder="1" applyFont="1" applyNumberFormat="1">
      <alignment horizontal="center" shrinkToFit="0" vertical="center" wrapText="1"/>
    </xf>
    <xf borderId="10" fillId="7" fontId="7" numFmtId="0" xfId="0" applyAlignment="1" applyBorder="1" applyFont="1">
      <alignment horizontal="left" shrinkToFit="0" vertical="center" wrapText="0"/>
    </xf>
    <xf borderId="12" fillId="4" fontId="15" numFmtId="0" xfId="0" applyAlignment="1" applyBorder="1" applyFont="1">
      <alignment horizontal="center" shrinkToFit="0" vertical="center" wrapText="0"/>
    </xf>
    <xf borderId="12" fillId="7" fontId="1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5" width="16.0"/>
    <col customWidth="1" min="6" max="6" width="21.14"/>
    <col customWidth="1" min="7" max="7" width="19.57"/>
    <col customWidth="1" min="8" max="10" width="16.0"/>
    <col customWidth="1" min="11" max="26" width="8.71"/>
  </cols>
  <sheetData>
    <row r="1" ht="48.0" customHeight="1">
      <c r="B1" s="1" t="s">
        <v>0</v>
      </c>
      <c r="C1" s="2"/>
      <c r="D1" s="2"/>
      <c r="E1" s="2"/>
      <c r="F1" s="2"/>
      <c r="G1" s="2"/>
      <c r="H1" s="2"/>
      <c r="I1" s="2"/>
      <c r="J1" s="3"/>
    </row>
    <row r="2" ht="19.5" customHeight="1">
      <c r="B2" s="4" t="s">
        <v>1</v>
      </c>
      <c r="C2" s="2"/>
      <c r="D2" s="2"/>
      <c r="E2" s="2"/>
      <c r="F2" s="2"/>
      <c r="G2" s="2"/>
      <c r="H2" s="2"/>
      <c r="I2" s="2"/>
      <c r="J2" s="3"/>
    </row>
    <row r="3" ht="7.5" customHeight="1"/>
    <row r="4" ht="27.75" customHeight="1">
      <c r="B4" s="5" t="s">
        <v>2</v>
      </c>
      <c r="C4" s="6"/>
      <c r="D4" s="7"/>
      <c r="E4" s="8" t="s">
        <v>3</v>
      </c>
      <c r="F4" s="9"/>
      <c r="G4" s="10"/>
      <c r="H4" s="11" t="s">
        <v>4</v>
      </c>
      <c r="I4" s="7"/>
      <c r="J4" s="12">
        <v>46136.0</v>
      </c>
    </row>
    <row r="5" ht="7.5" customHeight="1">
      <c r="I5" s="13" t="s">
        <v>5</v>
      </c>
    </row>
    <row r="6" ht="18.0" customHeight="1">
      <c r="B6" s="14" t="s">
        <v>6</v>
      </c>
      <c r="C6" s="3"/>
      <c r="D6" s="15" t="s">
        <v>7</v>
      </c>
      <c r="E6" s="3"/>
      <c r="F6" s="16" t="s">
        <v>8</v>
      </c>
      <c r="G6" s="3"/>
      <c r="H6" s="17" t="s">
        <v>9</v>
      </c>
      <c r="I6" s="3"/>
    </row>
    <row r="7" ht="42.0" customHeight="1">
      <c r="B7" s="18" t="str">
        <f>Checklist!B3</f>
        <v>Em andamento</v>
      </c>
      <c r="C7" s="3"/>
      <c r="D7" s="19">
        <f>Checklist!D3</f>
        <v>0.3555555556</v>
      </c>
      <c r="E7" s="3"/>
      <c r="F7" s="20">
        <f>Checklist!F3</f>
        <v>16</v>
      </c>
      <c r="G7" s="3"/>
      <c r="H7" s="21">
        <f>Checklist!H3</f>
        <v>19</v>
      </c>
      <c r="I7" s="3"/>
    </row>
    <row r="8" ht="18.0" customHeight="1">
      <c r="B8" s="22" t="s">
        <v>10</v>
      </c>
      <c r="C8" s="3"/>
      <c r="D8" s="23" t="s">
        <v>10</v>
      </c>
      <c r="E8" s="3"/>
      <c r="F8" s="24" t="s">
        <v>10</v>
      </c>
      <c r="G8" s="3"/>
      <c r="H8" s="25" t="s">
        <v>10</v>
      </c>
      <c r="I8" s="3"/>
    </row>
    <row r="9" ht="7.5" customHeight="1"/>
    <row r="10" ht="27.75" customHeight="1">
      <c r="B10" s="26" t="s">
        <v>11</v>
      </c>
      <c r="C10" s="6"/>
      <c r="D10" s="6"/>
      <c r="E10" s="6"/>
      <c r="F10" s="6"/>
      <c r="G10" s="6"/>
      <c r="H10" s="6"/>
      <c r="I10" s="6"/>
      <c r="J10" s="7"/>
    </row>
    <row r="11" ht="25.5" customHeight="1">
      <c r="B11" s="27" t="s">
        <v>12</v>
      </c>
      <c r="C11" s="28"/>
      <c r="D11" s="27" t="s">
        <v>13</v>
      </c>
      <c r="E11" s="28"/>
      <c r="F11" s="27" t="s">
        <v>14</v>
      </c>
      <c r="G11" s="28"/>
      <c r="H11" s="27" t="s">
        <v>15</v>
      </c>
      <c r="I11" s="28"/>
      <c r="J11" s="29" t="s">
        <v>16</v>
      </c>
    </row>
    <row r="12" ht="25.5" customHeight="1">
      <c r="B12" s="30" t="s">
        <v>17</v>
      </c>
      <c r="C12" s="7"/>
      <c r="D12" s="31" t="s">
        <v>18</v>
      </c>
      <c r="E12" s="7"/>
      <c r="F12" s="32" t="s">
        <v>19</v>
      </c>
      <c r="G12" s="7"/>
      <c r="H12" s="33"/>
      <c r="I12" s="7"/>
      <c r="J12" s="34"/>
    </row>
    <row r="13" ht="25.5" customHeight="1">
      <c r="B13" s="35" t="s">
        <v>20</v>
      </c>
      <c r="C13" s="7"/>
      <c r="D13" s="36" t="s">
        <v>18</v>
      </c>
      <c r="E13" s="7"/>
      <c r="F13" s="37" t="s">
        <v>21</v>
      </c>
      <c r="G13" s="7"/>
      <c r="H13" s="38"/>
      <c r="I13" s="7"/>
      <c r="J13" s="39"/>
    </row>
    <row r="14" ht="25.5" customHeight="1">
      <c r="B14" s="30" t="s">
        <v>22</v>
      </c>
      <c r="C14" s="7"/>
      <c r="D14" s="31" t="s">
        <v>18</v>
      </c>
      <c r="E14" s="7"/>
      <c r="F14" s="40" t="s">
        <v>23</v>
      </c>
      <c r="G14" s="7"/>
      <c r="H14" s="33"/>
      <c r="I14" s="7"/>
      <c r="J14" s="34"/>
    </row>
    <row r="15" ht="25.5" customHeight="1">
      <c r="B15" s="35" t="s">
        <v>24</v>
      </c>
      <c r="C15" s="7"/>
      <c r="D15" s="36" t="s">
        <v>25</v>
      </c>
      <c r="E15" s="7"/>
      <c r="F15" s="41" t="s">
        <v>23</v>
      </c>
      <c r="G15" s="7"/>
      <c r="H15" s="38"/>
      <c r="I15" s="7"/>
      <c r="J15" s="39"/>
    </row>
    <row r="16" ht="25.5" customHeight="1">
      <c r="B16" s="30" t="s">
        <v>26</v>
      </c>
      <c r="C16" s="7"/>
      <c r="D16" s="31" t="s">
        <v>18</v>
      </c>
      <c r="E16" s="7"/>
      <c r="F16" s="40" t="s">
        <v>23</v>
      </c>
      <c r="G16" s="7"/>
      <c r="H16" s="33"/>
      <c r="I16" s="7"/>
      <c r="J16" s="34"/>
    </row>
    <row r="17" ht="25.5" customHeight="1">
      <c r="B17" s="35" t="s">
        <v>27</v>
      </c>
      <c r="C17" s="7"/>
      <c r="D17" s="36" t="s">
        <v>25</v>
      </c>
      <c r="E17" s="7"/>
      <c r="F17" s="37" t="s">
        <v>21</v>
      </c>
      <c r="G17" s="7"/>
      <c r="H17" s="38"/>
      <c r="I17" s="7"/>
      <c r="J17" s="39"/>
    </row>
    <row r="19" ht="7.5" customHeight="1"/>
    <row r="20" ht="27.75" customHeight="1">
      <c r="B20" s="26" t="s">
        <v>28</v>
      </c>
      <c r="C20" s="6"/>
      <c r="D20" s="6"/>
      <c r="E20" s="6"/>
      <c r="F20" s="6"/>
      <c r="G20" s="6"/>
      <c r="H20" s="6"/>
      <c r="I20" s="6"/>
      <c r="J20" s="7"/>
    </row>
    <row r="21" ht="25.5" customHeight="1">
      <c r="B21" s="27" t="s">
        <v>29</v>
      </c>
      <c r="C21" s="28"/>
      <c r="D21" s="29" t="s">
        <v>30</v>
      </c>
      <c r="E21" s="29" t="s">
        <v>31</v>
      </c>
      <c r="G21" s="29" t="s">
        <v>13</v>
      </c>
      <c r="H21" s="27" t="s">
        <v>14</v>
      </c>
      <c r="I21" s="28"/>
      <c r="J21" s="29" t="s">
        <v>32</v>
      </c>
    </row>
    <row r="22" ht="24.75" customHeight="1">
      <c r="B22" s="42" t="s">
        <v>33</v>
      </c>
      <c r="C22" s="7"/>
      <c r="D22" s="43"/>
      <c r="E22" s="43"/>
      <c r="F22" s="43"/>
      <c r="G22" s="44" t="s">
        <v>18</v>
      </c>
      <c r="H22" s="40" t="s">
        <v>34</v>
      </c>
      <c r="I22" s="7"/>
      <c r="J22" s="34"/>
    </row>
    <row r="23" ht="24.75" customHeight="1">
      <c r="B23" s="45" t="s">
        <v>35</v>
      </c>
      <c r="C23" s="7"/>
      <c r="D23" s="46"/>
      <c r="E23" s="46"/>
      <c r="F23" s="46"/>
      <c r="G23" s="47" t="s">
        <v>18</v>
      </c>
      <c r="H23" s="37" t="s">
        <v>21</v>
      </c>
      <c r="I23" s="7"/>
      <c r="J23" s="39"/>
    </row>
    <row r="24" ht="24.75" customHeight="1">
      <c r="B24" s="42" t="s">
        <v>36</v>
      </c>
      <c r="C24" s="7"/>
      <c r="D24" s="43"/>
      <c r="E24" s="43"/>
      <c r="F24" s="43"/>
      <c r="G24" s="44" t="s">
        <v>18</v>
      </c>
      <c r="H24" s="40" t="s">
        <v>34</v>
      </c>
      <c r="I24" s="7"/>
      <c r="J24" s="34"/>
    </row>
    <row r="25" ht="24.75" customHeight="1">
      <c r="B25" s="45" t="s">
        <v>37</v>
      </c>
      <c r="C25" s="7"/>
      <c r="D25" s="46"/>
      <c r="E25" s="46"/>
      <c r="F25" s="46"/>
      <c r="G25" s="47" t="s">
        <v>18</v>
      </c>
      <c r="H25" s="41" t="s">
        <v>34</v>
      </c>
      <c r="I25" s="7"/>
      <c r="J25" s="39"/>
    </row>
    <row r="26" ht="24.75" customHeight="1">
      <c r="B26" s="42" t="s">
        <v>38</v>
      </c>
      <c r="C26" s="7"/>
      <c r="D26" s="43"/>
      <c r="E26" s="43"/>
      <c r="F26" s="43"/>
      <c r="G26" s="44" t="s">
        <v>18</v>
      </c>
      <c r="H26" s="32" t="s">
        <v>21</v>
      </c>
      <c r="I26" s="7"/>
      <c r="J26" s="34"/>
    </row>
    <row r="27" ht="24.75" customHeight="1">
      <c r="B27" s="45" t="s">
        <v>39</v>
      </c>
      <c r="C27" s="7"/>
      <c r="D27" s="46"/>
      <c r="E27" s="46"/>
      <c r="F27" s="46"/>
      <c r="G27" s="47" t="s">
        <v>40</v>
      </c>
      <c r="H27" s="37" t="s">
        <v>41</v>
      </c>
      <c r="I27" s="7"/>
      <c r="J27" s="39"/>
    </row>
    <row r="28" ht="24.75" customHeight="1">
      <c r="B28" s="42" t="s">
        <v>42</v>
      </c>
      <c r="C28" s="7"/>
      <c r="D28" s="43"/>
      <c r="E28" s="43"/>
      <c r="F28" s="43"/>
      <c r="G28" s="44" t="s">
        <v>25</v>
      </c>
      <c r="H28" s="32" t="s">
        <v>21</v>
      </c>
      <c r="I28" s="7"/>
      <c r="J28" s="34"/>
    </row>
    <row r="29" ht="24.75" customHeight="1">
      <c r="B29" s="45" t="s">
        <v>43</v>
      </c>
      <c r="C29" s="7"/>
      <c r="D29" s="46"/>
      <c r="E29" s="46"/>
      <c r="F29" s="46"/>
      <c r="G29" s="47" t="s">
        <v>25</v>
      </c>
      <c r="H29" s="37" t="s">
        <v>41</v>
      </c>
      <c r="I29" s="7"/>
      <c r="J29" s="3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D12:E12"/>
    <mergeCell ref="F12:G12"/>
    <mergeCell ref="B13:C13"/>
    <mergeCell ref="D13:E13"/>
    <mergeCell ref="F13:G13"/>
    <mergeCell ref="H13:I13"/>
    <mergeCell ref="H14:I14"/>
    <mergeCell ref="B14:C14"/>
    <mergeCell ref="B15:C15"/>
    <mergeCell ref="D15:E15"/>
    <mergeCell ref="F15:G15"/>
    <mergeCell ref="H15:I15"/>
    <mergeCell ref="B16:C16"/>
    <mergeCell ref="D16:E16"/>
    <mergeCell ref="H21:I21"/>
    <mergeCell ref="H22:I22"/>
    <mergeCell ref="B17:C17"/>
    <mergeCell ref="D17:E17"/>
    <mergeCell ref="F17:G17"/>
    <mergeCell ref="H17:I17"/>
    <mergeCell ref="B20:J20"/>
    <mergeCell ref="B21:C21"/>
    <mergeCell ref="B22:C22"/>
    <mergeCell ref="B26:C26"/>
    <mergeCell ref="B27:C27"/>
    <mergeCell ref="B28:C28"/>
    <mergeCell ref="B29:C29"/>
    <mergeCell ref="B23:C23"/>
    <mergeCell ref="H23:I23"/>
    <mergeCell ref="B24:C24"/>
    <mergeCell ref="H24:I24"/>
    <mergeCell ref="B25:C25"/>
    <mergeCell ref="H25:I25"/>
    <mergeCell ref="H26:I26"/>
    <mergeCell ref="H29:I29"/>
    <mergeCell ref="F6:G6"/>
    <mergeCell ref="H6:I6"/>
    <mergeCell ref="B1:J1"/>
    <mergeCell ref="B2:J2"/>
    <mergeCell ref="B4:D4"/>
    <mergeCell ref="E4:G4"/>
    <mergeCell ref="H4:I4"/>
    <mergeCell ref="B6:C6"/>
    <mergeCell ref="D6:E6"/>
    <mergeCell ref="B7:C7"/>
    <mergeCell ref="D7:E7"/>
    <mergeCell ref="F7:G7"/>
    <mergeCell ref="H7:I7"/>
    <mergeCell ref="B8:C8"/>
    <mergeCell ref="D8:E8"/>
    <mergeCell ref="F8:G8"/>
    <mergeCell ref="H8:I8"/>
    <mergeCell ref="B10:J10"/>
    <mergeCell ref="B11:C11"/>
    <mergeCell ref="D11:E11"/>
    <mergeCell ref="F11:G11"/>
    <mergeCell ref="H11:I11"/>
    <mergeCell ref="B12:C12"/>
    <mergeCell ref="H12:I12"/>
    <mergeCell ref="D14:E14"/>
    <mergeCell ref="F14:G14"/>
    <mergeCell ref="F16:G16"/>
    <mergeCell ref="H16:I16"/>
    <mergeCell ref="H27:I27"/>
    <mergeCell ref="H28:I28"/>
  </mergeCells>
  <dataValidations>
    <dataValidation type="list" allowBlank="1" sqref="H22:H29">
      <formula1>"Concluido,Em andamento,Pendente,Atrasado"</formula1>
    </dataValidation>
    <dataValidation type="list" allowBlank="1" sqref="F12:F17">
      <formula1>"Nao iniciado,Em andamento,Concluido"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38.0"/>
    <col customWidth="1" min="4" max="4" width="20.0"/>
    <col customWidth="1" min="5" max="6" width="14.0"/>
    <col customWidth="1" min="7" max="7" width="16.0"/>
    <col customWidth="1" min="8" max="8" width="18.0"/>
    <col customWidth="1" min="9" max="26" width="8.71"/>
  </cols>
  <sheetData>
    <row r="1" ht="48.0" customHeight="1">
      <c r="B1" s="1" t="s">
        <v>44</v>
      </c>
      <c r="C1" s="2"/>
      <c r="D1" s="2"/>
      <c r="E1" s="2"/>
      <c r="F1" s="2"/>
      <c r="G1" s="2"/>
      <c r="H1" s="3"/>
    </row>
    <row r="2" ht="12.0" customHeight="1"/>
    <row r="3" ht="15.0" customHeight="1">
      <c r="B3" s="48" t="s">
        <v>19</v>
      </c>
      <c r="D3" s="49">
        <f>IFERROR(COUNTIF(C5:C49,"Concluido")/COUNTIF(C5:C49,"&lt;&gt;—"),0)</f>
        <v>0.3555555556</v>
      </c>
      <c r="F3" s="50">
        <f>COUNTIF(C5:C49,"Concluido")</f>
        <v>16</v>
      </c>
      <c r="H3" s="50">
        <f>COUNTIF(C5:C49,"Pendente")</f>
        <v>19</v>
      </c>
    </row>
    <row r="4" ht="25.5" customHeight="1">
      <c r="B4" s="29" t="s">
        <v>45</v>
      </c>
      <c r="C4" s="29" t="s">
        <v>14</v>
      </c>
      <c r="D4" s="29" t="s">
        <v>46</v>
      </c>
      <c r="E4" s="29" t="s">
        <v>13</v>
      </c>
      <c r="F4" s="29" t="s">
        <v>47</v>
      </c>
      <c r="G4" s="29" t="s">
        <v>48</v>
      </c>
      <c r="H4" s="29" t="s">
        <v>16</v>
      </c>
    </row>
    <row r="5" ht="27.75" customHeight="1">
      <c r="B5" s="51" t="s">
        <v>49</v>
      </c>
      <c r="C5" s="6"/>
      <c r="D5" s="6"/>
      <c r="E5" s="6"/>
      <c r="F5" s="6"/>
      <c r="G5" s="6"/>
      <c r="H5" s="7"/>
    </row>
    <row r="6" ht="25.5" customHeight="1">
      <c r="B6" s="52">
        <v>1.0</v>
      </c>
      <c r="C6" s="53" t="s">
        <v>21</v>
      </c>
      <c r="D6" s="54" t="s">
        <v>50</v>
      </c>
      <c r="E6" s="44" t="s">
        <v>18</v>
      </c>
      <c r="F6" s="55"/>
      <c r="G6" s="43"/>
      <c r="H6" s="34"/>
    </row>
    <row r="7" ht="25.5" customHeight="1">
      <c r="B7" s="56">
        <v>2.0</v>
      </c>
      <c r="C7" s="57" t="s">
        <v>21</v>
      </c>
      <c r="D7" s="58" t="s">
        <v>51</v>
      </c>
      <c r="E7" s="47" t="s">
        <v>25</v>
      </c>
      <c r="F7" s="59"/>
      <c r="G7" s="46"/>
      <c r="H7" s="39"/>
    </row>
    <row r="8" ht="25.5" customHeight="1">
      <c r="B8" s="52">
        <v>3.0</v>
      </c>
      <c r="C8" s="53" t="s">
        <v>21</v>
      </c>
      <c r="D8" s="54" t="s">
        <v>52</v>
      </c>
      <c r="E8" s="44" t="s">
        <v>25</v>
      </c>
      <c r="F8" s="55"/>
      <c r="G8" s="43"/>
      <c r="H8" s="34"/>
    </row>
    <row r="9" ht="25.5" customHeight="1">
      <c r="B9" s="56">
        <v>4.0</v>
      </c>
      <c r="C9" s="57" t="s">
        <v>21</v>
      </c>
      <c r="D9" s="58" t="s">
        <v>53</v>
      </c>
      <c r="E9" s="47" t="s">
        <v>18</v>
      </c>
      <c r="F9" s="59"/>
      <c r="G9" s="46"/>
      <c r="H9" s="39"/>
    </row>
    <row r="10" ht="27.75" customHeight="1">
      <c r="B10" s="26" t="s">
        <v>54</v>
      </c>
      <c r="C10" s="6"/>
      <c r="D10" s="6"/>
      <c r="E10" s="6"/>
      <c r="F10" s="6"/>
      <c r="G10" s="6"/>
      <c r="H10" s="7"/>
    </row>
    <row r="11" ht="25.5" customHeight="1">
      <c r="B11" s="52">
        <v>5.0</v>
      </c>
      <c r="C11" s="53" t="s">
        <v>34</v>
      </c>
      <c r="D11" s="54" t="s">
        <v>55</v>
      </c>
      <c r="E11" s="44" t="s">
        <v>18</v>
      </c>
      <c r="F11" s="55"/>
      <c r="G11" s="43"/>
      <c r="H11" s="34"/>
    </row>
    <row r="12" ht="25.5" customHeight="1">
      <c r="B12" s="56">
        <v>6.0</v>
      </c>
      <c r="C12" s="57" t="s">
        <v>34</v>
      </c>
      <c r="D12" s="58" t="s">
        <v>56</v>
      </c>
      <c r="E12" s="47" t="s">
        <v>18</v>
      </c>
      <c r="F12" s="59"/>
      <c r="G12" s="46"/>
      <c r="H12" s="39"/>
    </row>
    <row r="13" ht="25.5" customHeight="1">
      <c r="B13" s="52">
        <v>7.0</v>
      </c>
      <c r="C13" s="53" t="s">
        <v>34</v>
      </c>
      <c r="D13" s="54" t="s">
        <v>57</v>
      </c>
      <c r="E13" s="44" t="s">
        <v>18</v>
      </c>
      <c r="F13" s="55"/>
      <c r="G13" s="43"/>
      <c r="H13" s="34"/>
    </row>
    <row r="14" ht="25.5" customHeight="1">
      <c r="B14" s="56">
        <v>8.0</v>
      </c>
      <c r="C14" s="57" t="s">
        <v>34</v>
      </c>
      <c r="D14" s="58" t="s">
        <v>58</v>
      </c>
      <c r="E14" s="47" t="s">
        <v>18</v>
      </c>
      <c r="F14" s="59"/>
      <c r="G14" s="46"/>
      <c r="H14" s="39" t="s">
        <v>59</v>
      </c>
    </row>
    <row r="15" ht="27.75" customHeight="1">
      <c r="B15" s="60" t="s">
        <v>60</v>
      </c>
      <c r="C15" s="6"/>
      <c r="D15" s="6"/>
      <c r="E15" s="6"/>
      <c r="F15" s="6"/>
      <c r="G15" s="6"/>
      <c r="H15" s="7"/>
    </row>
    <row r="16" ht="25.5" customHeight="1">
      <c r="B16" s="52">
        <v>9.0</v>
      </c>
      <c r="C16" s="53" t="s">
        <v>21</v>
      </c>
      <c r="D16" s="54" t="s">
        <v>61</v>
      </c>
      <c r="E16" s="44" t="s">
        <v>18</v>
      </c>
      <c r="F16" s="55"/>
      <c r="G16" s="43"/>
      <c r="H16" s="34"/>
    </row>
    <row r="17" ht="25.5" customHeight="1">
      <c r="B17" s="56">
        <v>10.0</v>
      </c>
      <c r="C17" s="57" t="s">
        <v>21</v>
      </c>
      <c r="D17" s="58" t="s">
        <v>62</v>
      </c>
      <c r="E17" s="47" t="s">
        <v>18</v>
      </c>
      <c r="F17" s="59"/>
      <c r="G17" s="46"/>
      <c r="H17" s="39" t="s">
        <v>63</v>
      </c>
    </row>
    <row r="18" ht="25.5" customHeight="1">
      <c r="B18" s="52">
        <v>11.0</v>
      </c>
      <c r="C18" s="53" t="s">
        <v>21</v>
      </c>
      <c r="D18" s="54" t="s">
        <v>64</v>
      </c>
      <c r="E18" s="44" t="s">
        <v>18</v>
      </c>
      <c r="F18" s="55"/>
      <c r="G18" s="43"/>
      <c r="H18" s="34"/>
    </row>
    <row r="19" ht="25.5" customHeight="1">
      <c r="B19" s="56">
        <v>12.0</v>
      </c>
      <c r="C19" s="57" t="s">
        <v>34</v>
      </c>
      <c r="D19" s="58" t="s">
        <v>65</v>
      </c>
      <c r="E19" s="47" t="s">
        <v>18</v>
      </c>
      <c r="F19" s="59"/>
      <c r="G19" s="46"/>
      <c r="H19" s="39"/>
    </row>
    <row r="20" ht="27.75" customHeight="1">
      <c r="B20" s="26" t="s">
        <v>66</v>
      </c>
      <c r="C20" s="6"/>
      <c r="D20" s="6"/>
      <c r="E20" s="6"/>
      <c r="F20" s="6"/>
      <c r="G20" s="6"/>
      <c r="H20" s="7"/>
    </row>
    <row r="21" ht="25.5" customHeight="1">
      <c r="B21" s="52">
        <v>13.0</v>
      </c>
      <c r="C21" s="53" t="s">
        <v>21</v>
      </c>
      <c r="D21" s="54" t="s">
        <v>67</v>
      </c>
      <c r="E21" s="44" t="s">
        <v>18</v>
      </c>
      <c r="F21" s="55"/>
      <c r="G21" s="43"/>
      <c r="H21" s="34"/>
    </row>
    <row r="22" ht="25.5" customHeight="1">
      <c r="B22" s="56">
        <v>14.0</v>
      </c>
      <c r="C22" s="57" t="s">
        <v>21</v>
      </c>
      <c r="D22" s="58" t="s">
        <v>68</v>
      </c>
      <c r="E22" s="47" t="s">
        <v>18</v>
      </c>
      <c r="F22" s="59"/>
      <c r="G22" s="46"/>
      <c r="H22" s="39"/>
    </row>
    <row r="23" ht="25.5" customHeight="1">
      <c r="B23" s="52">
        <v>15.0</v>
      </c>
      <c r="C23" s="53" t="s">
        <v>19</v>
      </c>
      <c r="D23" s="54" t="s">
        <v>69</v>
      </c>
      <c r="E23" s="44" t="s">
        <v>18</v>
      </c>
      <c r="F23" s="55"/>
      <c r="G23" s="43"/>
      <c r="H23" s="34"/>
    </row>
    <row r="24" ht="25.5" customHeight="1">
      <c r="B24" s="56">
        <v>16.0</v>
      </c>
      <c r="C24" s="57" t="s">
        <v>21</v>
      </c>
      <c r="D24" s="58" t="s">
        <v>70</v>
      </c>
      <c r="E24" s="47" t="s">
        <v>18</v>
      </c>
      <c r="F24" s="59"/>
      <c r="G24" s="46"/>
      <c r="H24" s="39"/>
    </row>
    <row r="25" ht="25.5" customHeight="1">
      <c r="B25" s="52">
        <v>17.0</v>
      </c>
      <c r="C25" s="53" t="s">
        <v>19</v>
      </c>
      <c r="D25" s="54" t="s">
        <v>71</v>
      </c>
      <c r="E25" s="44" t="s">
        <v>18</v>
      </c>
      <c r="F25" s="55"/>
      <c r="G25" s="43"/>
      <c r="H25" s="34"/>
    </row>
    <row r="26" ht="25.5" customHeight="1">
      <c r="B26" s="56">
        <v>18.0</v>
      </c>
      <c r="C26" s="57" t="s">
        <v>21</v>
      </c>
      <c r="D26" s="58" t="s">
        <v>72</v>
      </c>
      <c r="E26" s="47" t="s">
        <v>18</v>
      </c>
      <c r="F26" s="59"/>
      <c r="G26" s="46"/>
      <c r="H26" s="39"/>
    </row>
    <row r="27" ht="25.5" customHeight="1">
      <c r="B27" s="52">
        <v>19.0</v>
      </c>
      <c r="C27" s="53" t="s">
        <v>19</v>
      </c>
      <c r="D27" s="54" t="s">
        <v>73</v>
      </c>
      <c r="E27" s="44" t="s">
        <v>18</v>
      </c>
      <c r="F27" s="55"/>
      <c r="G27" s="43"/>
      <c r="H27" s="34"/>
    </row>
    <row r="28" ht="25.5" customHeight="1">
      <c r="B28" s="56">
        <v>20.0</v>
      </c>
      <c r="C28" s="57" t="s">
        <v>34</v>
      </c>
      <c r="D28" s="58" t="s">
        <v>74</v>
      </c>
      <c r="E28" s="47" t="s">
        <v>25</v>
      </c>
      <c r="F28" s="59"/>
      <c r="G28" s="46"/>
      <c r="H28" s="39"/>
    </row>
    <row r="29" ht="25.5" customHeight="1">
      <c r="B29" s="52">
        <v>21.0</v>
      </c>
      <c r="C29" s="53" t="s">
        <v>21</v>
      </c>
      <c r="D29" s="54" t="s">
        <v>75</v>
      </c>
      <c r="E29" s="44" t="s">
        <v>18</v>
      </c>
      <c r="F29" s="55"/>
      <c r="G29" s="43"/>
      <c r="H29" s="34"/>
    </row>
    <row r="30" ht="25.5" customHeight="1">
      <c r="B30" s="56">
        <v>22.0</v>
      </c>
      <c r="C30" s="57" t="s">
        <v>34</v>
      </c>
      <c r="D30" s="58" t="s">
        <v>76</v>
      </c>
      <c r="E30" s="47" t="s">
        <v>18</v>
      </c>
      <c r="F30" s="59"/>
      <c r="G30" s="46"/>
      <c r="H30" s="39"/>
    </row>
    <row r="31" ht="27.75" customHeight="1">
      <c r="B31" s="61" t="s">
        <v>77</v>
      </c>
      <c r="C31" s="6"/>
      <c r="D31" s="6"/>
      <c r="E31" s="6"/>
      <c r="F31" s="6"/>
      <c r="G31" s="6"/>
      <c r="H31" s="7"/>
    </row>
    <row r="32" ht="25.5" customHeight="1">
      <c r="B32" s="52">
        <v>23.0</v>
      </c>
      <c r="C32" s="53" t="s">
        <v>34</v>
      </c>
      <c r="D32" s="54" t="s">
        <v>78</v>
      </c>
      <c r="E32" s="44" t="s">
        <v>18</v>
      </c>
      <c r="F32" s="55"/>
      <c r="G32" s="43"/>
      <c r="H32" s="34"/>
    </row>
    <row r="33" ht="25.5" customHeight="1">
      <c r="B33" s="56">
        <v>24.0</v>
      </c>
      <c r="C33" s="57" t="s">
        <v>34</v>
      </c>
      <c r="D33" s="58" t="s">
        <v>79</v>
      </c>
      <c r="E33" s="47" t="s">
        <v>18</v>
      </c>
      <c r="F33" s="59"/>
      <c r="G33" s="46"/>
      <c r="H33" s="39"/>
    </row>
    <row r="34" ht="25.5" customHeight="1">
      <c r="B34" s="52">
        <v>25.0</v>
      </c>
      <c r="C34" s="53" t="s">
        <v>34</v>
      </c>
      <c r="D34" s="54" t="s">
        <v>80</v>
      </c>
      <c r="E34" s="44" t="s">
        <v>18</v>
      </c>
      <c r="F34" s="55"/>
      <c r="G34" s="43"/>
      <c r="H34" s="34"/>
    </row>
    <row r="35" ht="25.5" customHeight="1">
      <c r="B35" s="56">
        <v>26.0</v>
      </c>
      <c r="C35" s="57" t="s">
        <v>34</v>
      </c>
      <c r="D35" s="58" t="s">
        <v>81</v>
      </c>
      <c r="E35" s="47" t="s">
        <v>18</v>
      </c>
      <c r="F35" s="59"/>
      <c r="G35" s="46"/>
      <c r="H35" s="39"/>
    </row>
    <row r="36" ht="25.5" customHeight="1">
      <c r="B36" s="52">
        <v>27.0</v>
      </c>
      <c r="C36" s="53" t="s">
        <v>34</v>
      </c>
      <c r="D36" s="54" t="s">
        <v>82</v>
      </c>
      <c r="E36" s="44" t="s">
        <v>18</v>
      </c>
      <c r="F36" s="55"/>
      <c r="G36" s="43"/>
      <c r="H36" s="34"/>
    </row>
    <row r="37" ht="25.5" customHeight="1">
      <c r="B37" s="56">
        <v>28.0</v>
      </c>
      <c r="C37" s="57" t="s">
        <v>34</v>
      </c>
      <c r="D37" s="58" t="s">
        <v>83</v>
      </c>
      <c r="E37" s="47" t="s">
        <v>18</v>
      </c>
      <c r="F37" s="59"/>
      <c r="G37" s="46"/>
      <c r="H37" s="39"/>
    </row>
    <row r="38" ht="27.75" customHeight="1">
      <c r="B38" s="51" t="s">
        <v>84</v>
      </c>
      <c r="C38" s="6"/>
      <c r="D38" s="6"/>
      <c r="E38" s="6"/>
      <c r="F38" s="6"/>
      <c r="G38" s="6"/>
      <c r="H38" s="7"/>
    </row>
    <row r="39" ht="25.5" customHeight="1">
      <c r="B39" s="52">
        <v>29.0</v>
      </c>
      <c r="C39" s="53" t="s">
        <v>34</v>
      </c>
      <c r="D39" s="54" t="s">
        <v>85</v>
      </c>
      <c r="E39" s="44" t="s">
        <v>18</v>
      </c>
      <c r="F39" s="55"/>
      <c r="G39" s="43"/>
      <c r="H39" s="34"/>
    </row>
    <row r="40" ht="25.5" customHeight="1">
      <c r="B40" s="56">
        <v>30.0</v>
      </c>
      <c r="C40" s="57" t="s">
        <v>34</v>
      </c>
      <c r="D40" s="58" t="s">
        <v>86</v>
      </c>
      <c r="E40" s="47" t="s">
        <v>25</v>
      </c>
      <c r="F40" s="59"/>
      <c r="G40" s="46"/>
      <c r="H40" s="39"/>
    </row>
    <row r="41" ht="25.5" customHeight="1">
      <c r="B41" s="52">
        <v>31.0</v>
      </c>
      <c r="C41" s="53" t="s">
        <v>34</v>
      </c>
      <c r="D41" s="54" t="s">
        <v>87</v>
      </c>
      <c r="E41" s="44" t="s">
        <v>18</v>
      </c>
      <c r="F41" s="55"/>
      <c r="G41" s="43"/>
      <c r="H41" s="34"/>
    </row>
    <row r="42" ht="25.5" customHeight="1">
      <c r="B42" s="56">
        <v>32.0</v>
      </c>
      <c r="C42" s="57" t="s">
        <v>34</v>
      </c>
      <c r="D42" s="58" t="s">
        <v>88</v>
      </c>
      <c r="E42" s="47" t="s">
        <v>18</v>
      </c>
      <c r="F42" s="59"/>
      <c r="G42" s="46"/>
      <c r="H42" s="39"/>
    </row>
    <row r="43" ht="25.5" customHeight="1">
      <c r="B43" s="52">
        <v>33.0</v>
      </c>
      <c r="C43" s="53" t="s">
        <v>34</v>
      </c>
      <c r="D43" s="54" t="s">
        <v>89</v>
      </c>
      <c r="E43" s="44" t="s">
        <v>18</v>
      </c>
      <c r="F43" s="55"/>
      <c r="G43" s="43"/>
      <c r="H43" s="34"/>
    </row>
    <row r="44" ht="27.75" customHeight="1">
      <c r="B44" s="61" t="s">
        <v>90</v>
      </c>
      <c r="C44" s="6"/>
      <c r="D44" s="6"/>
      <c r="E44" s="6"/>
      <c r="F44" s="6"/>
      <c r="G44" s="6"/>
      <c r="H44" s="7"/>
    </row>
    <row r="45" ht="25.5" customHeight="1">
      <c r="B45" s="52">
        <v>34.0</v>
      </c>
      <c r="C45" s="53" t="s">
        <v>21</v>
      </c>
      <c r="D45" s="54" t="s">
        <v>91</v>
      </c>
      <c r="E45" s="44" t="s">
        <v>25</v>
      </c>
      <c r="F45" s="55"/>
      <c r="G45" s="43"/>
      <c r="H45" s="34"/>
    </row>
    <row r="46" ht="25.5" customHeight="1">
      <c r="B46" s="56">
        <v>35.0</v>
      </c>
      <c r="C46" s="57" t="s">
        <v>34</v>
      </c>
      <c r="D46" s="58" t="s">
        <v>92</v>
      </c>
      <c r="E46" s="47" t="s">
        <v>25</v>
      </c>
      <c r="F46" s="59"/>
      <c r="G46" s="46"/>
      <c r="H46" s="39"/>
    </row>
    <row r="47" ht="25.5" customHeight="1">
      <c r="B47" s="52">
        <v>36.0</v>
      </c>
      <c r="C47" s="53" t="s">
        <v>21</v>
      </c>
      <c r="D47" s="54" t="s">
        <v>93</v>
      </c>
      <c r="E47" s="44" t="s">
        <v>25</v>
      </c>
      <c r="F47" s="55"/>
      <c r="G47" s="43"/>
      <c r="H47" s="34"/>
    </row>
    <row r="48" ht="25.5" customHeight="1">
      <c r="B48" s="56">
        <v>37.0</v>
      </c>
      <c r="C48" s="57" t="s">
        <v>21</v>
      </c>
      <c r="D48" s="58" t="s">
        <v>94</v>
      </c>
      <c r="E48" s="47" t="s">
        <v>25</v>
      </c>
      <c r="F48" s="59"/>
      <c r="G48" s="46"/>
      <c r="H48" s="39"/>
    </row>
    <row r="49" ht="25.5" customHeight="1">
      <c r="B49" s="52">
        <v>38.0</v>
      </c>
      <c r="C49" s="53" t="s">
        <v>21</v>
      </c>
      <c r="D49" s="54" t="s">
        <v>95</v>
      </c>
      <c r="E49" s="44" t="s">
        <v>25</v>
      </c>
      <c r="F49" s="55"/>
      <c r="G49" s="43"/>
      <c r="H49" s="34"/>
    </row>
    <row r="50" ht="9.75" customHeight="1"/>
    <row r="51" ht="30.0" customHeight="1">
      <c r="B51" s="62" t="s">
        <v>96</v>
      </c>
      <c r="C51" s="6"/>
      <c r="D51" s="6"/>
      <c r="E51" s="7"/>
      <c r="F51" s="63">
        <f>IFERROR(COUNTIF(C5:C49,"Concluido")/COUNTIF(C5:C49,"&lt;&gt;—"),0)</f>
        <v>0.3555555556</v>
      </c>
      <c r="G51" s="9"/>
      <c r="H51" s="1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44:H44"/>
    <mergeCell ref="B51:E51"/>
    <mergeCell ref="F51:H51"/>
    <mergeCell ref="B1:H1"/>
    <mergeCell ref="B5:H5"/>
    <mergeCell ref="B10:H10"/>
    <mergeCell ref="B15:H15"/>
    <mergeCell ref="B20:H20"/>
    <mergeCell ref="B31:H31"/>
    <mergeCell ref="B38:H38"/>
  </mergeCells>
  <dataValidations>
    <dataValidation type="list" allowBlank="1" sqref="C6:C9 C11:C14 C16:C19 C21:C30 C32:C37 C39:C43 C45:C49">
      <formula1>"Concluido,Em andamento,Pendente,—"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9" width="18.0"/>
    <col customWidth="1" min="10" max="26" width="8.71"/>
  </cols>
  <sheetData>
    <row r="1" ht="48.0" customHeight="1">
      <c r="B1" s="1" t="s">
        <v>97</v>
      </c>
      <c r="C1" s="2"/>
      <c r="D1" s="2"/>
      <c r="E1" s="2"/>
      <c r="F1" s="2"/>
      <c r="G1" s="2"/>
      <c r="H1" s="2"/>
      <c r="I1" s="3"/>
    </row>
    <row r="2">
      <c r="B2" s="48" t="s">
        <v>19</v>
      </c>
    </row>
    <row r="3" ht="9.75" customHeight="1"/>
    <row r="4" ht="27.75" customHeight="1">
      <c r="B4" s="26" t="s">
        <v>98</v>
      </c>
      <c r="C4" s="6"/>
      <c r="D4" s="6"/>
      <c r="E4" s="6"/>
      <c r="F4" s="6"/>
      <c r="G4" s="6"/>
      <c r="H4" s="6"/>
      <c r="I4" s="7"/>
    </row>
    <row r="5" ht="25.5" customHeight="1">
      <c r="B5" s="64" t="s">
        <v>99</v>
      </c>
      <c r="C5" s="7"/>
      <c r="D5" s="65" t="s">
        <v>100</v>
      </c>
      <c r="E5" s="9"/>
      <c r="F5" s="9"/>
      <c r="G5" s="66"/>
    </row>
    <row r="6" ht="25.5" customHeight="1">
      <c r="B6" s="64" t="s">
        <v>101</v>
      </c>
      <c r="C6" s="7"/>
      <c r="D6" s="65" t="s">
        <v>102</v>
      </c>
      <c r="E6" s="9"/>
      <c r="F6" s="9"/>
      <c r="G6" s="66"/>
    </row>
    <row r="7" ht="25.5" customHeight="1">
      <c r="B7" s="64" t="s">
        <v>103</v>
      </c>
      <c r="C7" s="7"/>
      <c r="D7" s="67">
        <v>36522.0</v>
      </c>
      <c r="E7" s="9"/>
      <c r="F7" s="9"/>
      <c r="G7" s="66"/>
    </row>
    <row r="8" ht="25.5" customHeight="1">
      <c r="B8" s="64" t="s">
        <v>104</v>
      </c>
      <c r="C8" s="7"/>
      <c r="D8" s="65">
        <v>1.0924998652E10</v>
      </c>
      <c r="E8" s="9"/>
      <c r="F8" s="9"/>
      <c r="G8" s="66"/>
    </row>
    <row r="9" ht="25.5" customHeight="1">
      <c r="B9" s="64" t="s">
        <v>105</v>
      </c>
      <c r="C9" s="7"/>
      <c r="D9" s="65" t="s">
        <v>106</v>
      </c>
      <c r="E9" s="9"/>
      <c r="F9" s="9"/>
      <c r="G9" s="66"/>
    </row>
    <row r="10" ht="25.5" customHeight="1">
      <c r="B10" s="64" t="s">
        <v>107</v>
      </c>
      <c r="C10" s="7"/>
      <c r="D10" s="68"/>
      <c r="E10" s="9"/>
      <c r="F10" s="9"/>
      <c r="G10" s="66"/>
    </row>
    <row r="11" ht="25.5" customHeight="1">
      <c r="B11" s="64" t="s">
        <v>108</v>
      </c>
      <c r="C11" s="7"/>
      <c r="D11" s="65" t="s">
        <v>109</v>
      </c>
      <c r="E11" s="9"/>
      <c r="F11" s="9"/>
      <c r="G11" s="66"/>
    </row>
    <row r="12" ht="25.5" customHeight="1">
      <c r="B12" s="64" t="s">
        <v>110</v>
      </c>
      <c r="C12" s="7"/>
      <c r="D12" s="65" t="s">
        <v>111</v>
      </c>
      <c r="E12" s="9"/>
      <c r="F12" s="9"/>
      <c r="G12" s="66"/>
    </row>
    <row r="13" ht="25.5" customHeight="1">
      <c r="B13" s="64" t="s">
        <v>112</v>
      </c>
      <c r="C13" s="7"/>
      <c r="D13" s="68"/>
      <c r="E13" s="9"/>
      <c r="F13" s="9"/>
      <c r="G13" s="66"/>
    </row>
    <row r="14" ht="25.5" customHeight="1">
      <c r="B14" s="64" t="s">
        <v>113</v>
      </c>
      <c r="C14" s="7"/>
      <c r="D14" s="65" t="s">
        <v>114</v>
      </c>
      <c r="E14" s="9"/>
      <c r="F14" s="9"/>
      <c r="G14" s="66"/>
    </row>
    <row r="15" ht="7.5" customHeight="1"/>
    <row r="16" ht="27.75" customHeight="1">
      <c r="B16" s="26" t="s">
        <v>115</v>
      </c>
      <c r="C16" s="6"/>
      <c r="D16" s="6"/>
      <c r="E16" s="6"/>
      <c r="F16" s="6"/>
      <c r="G16" s="6"/>
      <c r="H16" s="6"/>
      <c r="I16" s="7"/>
    </row>
    <row r="17" ht="25.5" customHeight="1">
      <c r="B17" s="64" t="s">
        <v>116</v>
      </c>
      <c r="C17" s="7"/>
      <c r="D17" s="68"/>
      <c r="E17" s="66"/>
    </row>
    <row r="18" ht="25.5" customHeight="1">
      <c r="B18" s="64" t="s">
        <v>117</v>
      </c>
      <c r="C18" s="7"/>
      <c r="D18" s="68"/>
      <c r="E18" s="66"/>
    </row>
    <row r="19" ht="25.5" customHeight="1">
      <c r="B19" s="64" t="s">
        <v>118</v>
      </c>
      <c r="C19" s="7"/>
      <c r="D19" s="68"/>
      <c r="E19" s="66"/>
    </row>
    <row r="20" ht="25.5" customHeight="1">
      <c r="B20" s="64" t="s">
        <v>119</v>
      </c>
      <c r="C20" s="7"/>
      <c r="D20" s="68"/>
      <c r="E20" s="66"/>
    </row>
    <row r="21" ht="25.5" customHeight="1">
      <c r="B21" s="64" t="s">
        <v>120</v>
      </c>
      <c r="C21" s="7"/>
      <c r="D21" s="68"/>
      <c r="E21" s="9"/>
      <c r="F21" s="9"/>
      <c r="G21" s="66"/>
    </row>
    <row r="22" ht="25.5" customHeight="1">
      <c r="B22" s="64" t="s">
        <v>121</v>
      </c>
      <c r="C22" s="7"/>
      <c r="D22" s="68"/>
      <c r="E22" s="9"/>
      <c r="F22" s="9"/>
      <c r="G22" s="66"/>
    </row>
    <row r="23" ht="7.5" customHeight="1"/>
    <row r="24" ht="27.75" customHeight="1">
      <c r="B24" s="26" t="s">
        <v>122</v>
      </c>
      <c r="C24" s="6"/>
      <c r="D24" s="6"/>
      <c r="E24" s="6"/>
      <c r="F24" s="6"/>
      <c r="G24" s="6"/>
      <c r="H24" s="6"/>
      <c r="I24" s="7"/>
    </row>
    <row r="25" ht="25.5" customHeight="1">
      <c r="B25" s="29" t="s">
        <v>123</v>
      </c>
      <c r="C25" s="29" t="s">
        <v>124</v>
      </c>
      <c r="D25" s="29" t="s">
        <v>125</v>
      </c>
      <c r="E25" s="29" t="s">
        <v>126</v>
      </c>
      <c r="F25" s="29" t="s">
        <v>127</v>
      </c>
      <c r="G25" s="29" t="s">
        <v>128</v>
      </c>
      <c r="H25" s="29" t="s">
        <v>129</v>
      </c>
      <c r="I25" s="29" t="s">
        <v>16</v>
      </c>
    </row>
    <row r="26" ht="24.0" customHeight="1">
      <c r="B26" s="69" t="s">
        <v>130</v>
      </c>
      <c r="C26" s="70" t="s">
        <v>131</v>
      </c>
      <c r="D26" s="70">
        <v>12.8</v>
      </c>
      <c r="E26" s="71"/>
      <c r="F26" s="71"/>
      <c r="G26" s="71"/>
      <c r="H26" s="71"/>
      <c r="I26" s="71"/>
    </row>
    <row r="27" ht="24.0" customHeight="1">
      <c r="B27" s="72" t="s">
        <v>132</v>
      </c>
      <c r="C27" s="73"/>
      <c r="D27" s="73"/>
      <c r="E27" s="73"/>
      <c r="F27" s="73"/>
      <c r="G27" s="73"/>
      <c r="H27" s="73"/>
      <c r="I27" s="73"/>
    </row>
    <row r="28" ht="24.0" customHeight="1">
      <c r="B28" s="69" t="s">
        <v>133</v>
      </c>
      <c r="C28" s="71"/>
      <c r="D28" s="71"/>
      <c r="E28" s="71"/>
      <c r="F28" s="71"/>
      <c r="G28" s="71"/>
      <c r="H28" s="71"/>
      <c r="I28" s="71"/>
    </row>
    <row r="29" ht="24.0" customHeight="1">
      <c r="B29" s="72" t="s">
        <v>134</v>
      </c>
      <c r="C29" s="73"/>
      <c r="D29" s="73"/>
      <c r="E29" s="73"/>
      <c r="F29" s="73"/>
      <c r="G29" s="73"/>
      <c r="H29" s="73"/>
      <c r="I29" s="73"/>
    </row>
    <row r="30" ht="24.0" customHeight="1">
      <c r="B30" s="69" t="s">
        <v>135</v>
      </c>
      <c r="C30" s="71"/>
      <c r="D30" s="71"/>
      <c r="E30" s="71"/>
      <c r="F30" s="71"/>
      <c r="G30" s="71"/>
      <c r="H30" s="71"/>
      <c r="I30" s="71"/>
    </row>
    <row r="31" ht="24.0" customHeight="1">
      <c r="B31" s="72" t="s">
        <v>136</v>
      </c>
      <c r="C31" s="73"/>
      <c r="D31" s="73"/>
      <c r="E31" s="73"/>
      <c r="F31" s="73"/>
      <c r="G31" s="73"/>
      <c r="H31" s="73"/>
      <c r="I31" s="73"/>
    </row>
    <row r="32" ht="24.0" customHeight="1">
      <c r="B32" s="69" t="s">
        <v>137</v>
      </c>
      <c r="C32" s="71"/>
      <c r="D32" s="71"/>
      <c r="E32" s="71"/>
      <c r="F32" s="71"/>
      <c r="G32" s="71"/>
      <c r="H32" s="71"/>
      <c r="I32" s="71"/>
    </row>
    <row r="33" ht="24.0" customHeight="1">
      <c r="B33" s="72" t="s">
        <v>138</v>
      </c>
      <c r="C33" s="73"/>
      <c r="D33" s="73"/>
      <c r="E33" s="73"/>
      <c r="F33" s="73"/>
      <c r="G33" s="73"/>
      <c r="H33" s="73"/>
      <c r="I33" s="73"/>
    </row>
    <row r="34" ht="7.5" customHeight="1"/>
    <row r="35" ht="27.75" customHeight="1">
      <c r="B35" s="26" t="s">
        <v>139</v>
      </c>
      <c r="C35" s="6"/>
      <c r="D35" s="6"/>
      <c r="E35" s="6"/>
      <c r="F35" s="6"/>
      <c r="G35" s="6"/>
      <c r="H35" s="6"/>
      <c r="I35" s="7"/>
    </row>
    <row r="36" ht="18.0" customHeight="1">
      <c r="B36" s="74" t="s">
        <v>140</v>
      </c>
      <c r="C36" s="2"/>
      <c r="D36" s="2"/>
      <c r="E36" s="2"/>
      <c r="F36" s="2"/>
      <c r="G36" s="2"/>
      <c r="H36" s="2"/>
      <c r="I36" s="75"/>
    </row>
    <row r="37" ht="60.0" customHeight="1">
      <c r="B37" s="76"/>
      <c r="C37" s="9"/>
      <c r="D37" s="9"/>
      <c r="E37" s="9"/>
      <c r="F37" s="9"/>
      <c r="G37" s="9"/>
      <c r="H37" s="9"/>
      <c r="I37" s="66"/>
    </row>
    <row r="38" ht="18.0" customHeight="1">
      <c r="B38" s="74" t="s">
        <v>141</v>
      </c>
      <c r="C38" s="2"/>
      <c r="D38" s="2"/>
      <c r="E38" s="2"/>
      <c r="F38" s="2"/>
      <c r="G38" s="2"/>
      <c r="H38" s="2"/>
      <c r="I38" s="75"/>
    </row>
    <row r="39" ht="60.0" customHeight="1">
      <c r="B39" s="76"/>
      <c r="C39" s="9"/>
      <c r="D39" s="9"/>
      <c r="E39" s="9"/>
      <c r="F39" s="9"/>
      <c r="G39" s="9"/>
      <c r="H39" s="9"/>
      <c r="I39" s="6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14:C14"/>
    <mergeCell ref="D14:G14"/>
    <mergeCell ref="B1:I1"/>
    <mergeCell ref="B4:I4"/>
    <mergeCell ref="B5:C5"/>
    <mergeCell ref="D5:G5"/>
    <mergeCell ref="H5:H14"/>
    <mergeCell ref="B6:C6"/>
    <mergeCell ref="D6:G6"/>
    <mergeCell ref="B16:I16"/>
    <mergeCell ref="B17:C17"/>
    <mergeCell ref="D17:E17"/>
    <mergeCell ref="B18:C18"/>
    <mergeCell ref="D18:E18"/>
    <mergeCell ref="B19:C19"/>
    <mergeCell ref="D19:E19"/>
    <mergeCell ref="B35:I35"/>
    <mergeCell ref="B36:I36"/>
    <mergeCell ref="B37:I37"/>
    <mergeCell ref="B38:I38"/>
    <mergeCell ref="B39:I39"/>
    <mergeCell ref="B20:C20"/>
    <mergeCell ref="D20:E20"/>
    <mergeCell ref="B21:C21"/>
    <mergeCell ref="D21:G21"/>
    <mergeCell ref="B22:C22"/>
    <mergeCell ref="D22:G22"/>
    <mergeCell ref="B24:I24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5" width="20.0"/>
    <col customWidth="1" min="6" max="9" width="16.0"/>
    <col customWidth="1" min="10" max="26" width="8.71"/>
  </cols>
  <sheetData>
    <row r="1" ht="48.0" customHeight="1">
      <c r="B1" s="1" t="s">
        <v>142</v>
      </c>
      <c r="C1" s="2"/>
      <c r="D1" s="2"/>
      <c r="E1" s="2"/>
      <c r="F1" s="2"/>
      <c r="G1" s="2"/>
      <c r="H1" s="2"/>
      <c r="I1" s="3"/>
    </row>
    <row r="2">
      <c r="B2" s="48" t="s">
        <v>19</v>
      </c>
    </row>
    <row r="3" ht="9.75" customHeight="1"/>
    <row r="4" ht="27.75" customHeight="1">
      <c r="B4" s="26" t="s">
        <v>143</v>
      </c>
      <c r="C4" s="6"/>
      <c r="D4" s="6"/>
      <c r="E4" s="6"/>
      <c r="F4" s="6"/>
      <c r="G4" s="6"/>
      <c r="H4" s="6"/>
      <c r="I4" s="7"/>
    </row>
    <row r="5" ht="25.5" customHeight="1">
      <c r="B5" s="64" t="s">
        <v>144</v>
      </c>
      <c r="C5" s="7"/>
      <c r="D5" s="68"/>
      <c r="E5" s="9"/>
      <c r="F5" s="9"/>
      <c r="G5" s="66"/>
    </row>
    <row r="6" ht="25.5" customHeight="1">
      <c r="B6" s="64" t="s">
        <v>145</v>
      </c>
      <c r="C6" s="7"/>
      <c r="D6" s="68"/>
      <c r="E6" s="77"/>
      <c r="F6" s="78"/>
      <c r="G6" s="79"/>
    </row>
    <row r="7" ht="25.5" customHeight="1">
      <c r="B7" s="64" t="s">
        <v>146</v>
      </c>
      <c r="C7" s="7"/>
      <c r="D7" s="68"/>
      <c r="E7" s="10"/>
      <c r="G7" s="80"/>
    </row>
    <row r="8" ht="25.5" customHeight="1">
      <c r="B8" s="64" t="s">
        <v>147</v>
      </c>
      <c r="C8" s="7"/>
      <c r="D8" s="81"/>
      <c r="E8" s="82"/>
      <c r="F8" s="82"/>
      <c r="G8" s="83"/>
    </row>
    <row r="9" ht="25.5" customHeight="1">
      <c r="B9" s="64" t="s">
        <v>148</v>
      </c>
      <c r="C9" s="7"/>
      <c r="D9" s="84"/>
      <c r="E9" s="85"/>
      <c r="F9" s="85"/>
      <c r="G9" s="86"/>
    </row>
    <row r="10" ht="25.5" customHeight="1">
      <c r="B10" s="64" t="s">
        <v>149</v>
      </c>
      <c r="C10" s="7"/>
      <c r="D10" s="68"/>
      <c r="E10" s="9"/>
      <c r="F10" s="9"/>
      <c r="G10" s="66"/>
    </row>
    <row r="11" ht="25.5" customHeight="1">
      <c r="B11" s="64" t="s">
        <v>150</v>
      </c>
      <c r="C11" s="7"/>
      <c r="D11" s="68"/>
      <c r="E11" s="9"/>
      <c r="F11" s="9"/>
      <c r="G11" s="66"/>
    </row>
    <row r="12" ht="25.5" customHeight="1">
      <c r="B12" s="64" t="s">
        <v>151</v>
      </c>
      <c r="C12" s="7"/>
      <c r="D12" s="87"/>
      <c r="E12" s="78"/>
      <c r="F12" s="78"/>
      <c r="G12" s="79"/>
    </row>
    <row r="13" ht="25.5" customHeight="1">
      <c r="B13" s="64" t="s">
        <v>152</v>
      </c>
      <c r="C13" s="7"/>
      <c r="D13" s="87"/>
      <c r="E13" s="78"/>
      <c r="F13" s="78"/>
      <c r="G13" s="79"/>
    </row>
    <row r="14" ht="25.5" customHeight="1">
      <c r="B14" s="64" t="s">
        <v>153</v>
      </c>
      <c r="C14" s="7"/>
      <c r="D14" s="87"/>
      <c r="E14" s="78"/>
      <c r="F14" s="78"/>
      <c r="G14" s="79"/>
    </row>
    <row r="15" ht="25.5" customHeight="1">
      <c r="B15" s="64" t="s">
        <v>154</v>
      </c>
      <c r="C15" s="7"/>
      <c r="D15" s="87"/>
      <c r="E15" s="78"/>
      <c r="F15" s="78"/>
      <c r="G15" s="79"/>
    </row>
    <row r="16" ht="7.5" customHeight="1"/>
    <row r="17" ht="27.75" customHeight="1">
      <c r="B17" s="26" t="s">
        <v>155</v>
      </c>
      <c r="C17" s="6"/>
      <c r="D17" s="6"/>
      <c r="E17" s="6"/>
      <c r="F17" s="6"/>
      <c r="G17" s="6"/>
      <c r="H17" s="6"/>
      <c r="I17" s="7"/>
    </row>
    <row r="18" ht="25.5" customHeight="1">
      <c r="B18" s="29" t="s">
        <v>45</v>
      </c>
      <c r="C18" s="29" t="s">
        <v>14</v>
      </c>
      <c r="D18" s="29" t="s">
        <v>156</v>
      </c>
      <c r="E18" s="29" t="s">
        <v>157</v>
      </c>
      <c r="F18" s="29" t="s">
        <v>158</v>
      </c>
      <c r="G18" s="29" t="s">
        <v>16</v>
      </c>
    </row>
    <row r="19" ht="24.75" customHeight="1">
      <c r="B19" s="52">
        <v>1.0</v>
      </c>
      <c r="C19" s="71" t="s">
        <v>34</v>
      </c>
      <c r="D19" s="54" t="s">
        <v>159</v>
      </c>
      <c r="E19" s="55"/>
      <c r="F19" s="43"/>
      <c r="G19" s="34"/>
    </row>
    <row r="20" ht="24.75" customHeight="1">
      <c r="B20" s="56">
        <v>2.0</v>
      </c>
      <c r="C20" s="73" t="s">
        <v>34</v>
      </c>
      <c r="D20" s="58" t="s">
        <v>160</v>
      </c>
      <c r="E20" s="59"/>
      <c r="F20" s="46"/>
      <c r="G20" s="39"/>
    </row>
    <row r="21" ht="24.75" customHeight="1">
      <c r="B21" s="52">
        <v>3.0</v>
      </c>
      <c r="C21" s="71" t="s">
        <v>34</v>
      </c>
      <c r="D21" s="54" t="s">
        <v>161</v>
      </c>
      <c r="E21" s="55"/>
      <c r="F21" s="43"/>
      <c r="G21" s="34"/>
    </row>
    <row r="22" ht="24.75" customHeight="1">
      <c r="B22" s="56">
        <v>4.0</v>
      </c>
      <c r="C22" s="73" t="s">
        <v>34</v>
      </c>
      <c r="D22" s="58" t="s">
        <v>162</v>
      </c>
      <c r="E22" s="59"/>
      <c r="F22" s="46"/>
      <c r="G22" s="39"/>
    </row>
    <row r="23" ht="24.75" customHeight="1">
      <c r="B23" s="52">
        <v>5.0</v>
      </c>
      <c r="C23" s="71" t="s">
        <v>34</v>
      </c>
      <c r="D23" s="54" t="s">
        <v>163</v>
      </c>
      <c r="E23" s="55"/>
      <c r="F23" s="43"/>
      <c r="G23" s="34"/>
    </row>
    <row r="24" ht="24.75" customHeight="1">
      <c r="B24" s="56">
        <v>6.0</v>
      </c>
      <c r="C24" s="73" t="s">
        <v>34</v>
      </c>
      <c r="D24" s="58" t="s">
        <v>164</v>
      </c>
      <c r="E24" s="59"/>
      <c r="F24" s="46"/>
      <c r="G24" s="39"/>
    </row>
    <row r="25" ht="24.75" customHeight="1">
      <c r="B25" s="52">
        <v>7.0</v>
      </c>
      <c r="C25" s="71" t="s">
        <v>34</v>
      </c>
      <c r="D25" s="54" t="s">
        <v>58</v>
      </c>
      <c r="E25" s="55"/>
      <c r="F25" s="43"/>
      <c r="G25" s="34"/>
    </row>
    <row r="26" ht="24.75" customHeight="1">
      <c r="B26" s="56">
        <v>8.0</v>
      </c>
      <c r="C26" s="73" t="s">
        <v>34</v>
      </c>
      <c r="D26" s="58" t="s">
        <v>165</v>
      </c>
      <c r="E26" s="59"/>
      <c r="F26" s="46"/>
      <c r="G26" s="39"/>
    </row>
    <row r="27" ht="24.75" customHeight="1">
      <c r="B27" s="52">
        <v>9.0</v>
      </c>
      <c r="C27" s="71" t="s">
        <v>34</v>
      </c>
      <c r="D27" s="54" t="s">
        <v>166</v>
      </c>
      <c r="E27" s="55"/>
      <c r="F27" s="43"/>
      <c r="G27" s="34"/>
    </row>
    <row r="28" ht="7.5" customHeight="1"/>
    <row r="29" ht="27.75" customHeight="1">
      <c r="B29" s="26" t="s">
        <v>167</v>
      </c>
      <c r="C29" s="6"/>
      <c r="D29" s="6"/>
      <c r="E29" s="6"/>
      <c r="F29" s="6"/>
      <c r="G29" s="6"/>
      <c r="H29" s="6"/>
      <c r="I29" s="7"/>
    </row>
    <row r="30" ht="79.5" customHeight="1">
      <c r="B30" s="76"/>
      <c r="C30" s="9"/>
      <c r="D30" s="9"/>
      <c r="E30" s="9"/>
      <c r="F30" s="9"/>
      <c r="G30" s="9"/>
      <c r="H30" s="9"/>
      <c r="I30" s="6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D8:G8"/>
    <mergeCell ref="D9:G9"/>
    <mergeCell ref="D10:G10"/>
    <mergeCell ref="D11:G11"/>
    <mergeCell ref="D12:G12"/>
    <mergeCell ref="D13:G13"/>
    <mergeCell ref="D14:G14"/>
    <mergeCell ref="D15:G15"/>
    <mergeCell ref="B1:I1"/>
    <mergeCell ref="B4:I4"/>
    <mergeCell ref="B5:C5"/>
    <mergeCell ref="D5:G5"/>
    <mergeCell ref="B6:C6"/>
    <mergeCell ref="E6:G6"/>
    <mergeCell ref="D7:E7"/>
    <mergeCell ref="B14:C14"/>
    <mergeCell ref="B15:C15"/>
    <mergeCell ref="B17:I17"/>
    <mergeCell ref="B29:I29"/>
    <mergeCell ref="B30:I30"/>
    <mergeCell ref="B7:C7"/>
    <mergeCell ref="B8:C8"/>
    <mergeCell ref="B9:C9"/>
    <mergeCell ref="B10:C10"/>
    <mergeCell ref="B11:C11"/>
    <mergeCell ref="B12:C12"/>
    <mergeCell ref="B13:C13"/>
  </mergeCells>
  <dataValidations>
    <dataValidation type="list" allowBlank="1" sqref="C19:C27">
      <formula1>"Recebido,Pendente,Nao se aplica"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3" width="22.0"/>
    <col customWidth="1" min="4" max="4" width="20.0"/>
    <col customWidth="1" min="5" max="5" width="18.0"/>
    <col customWidth="1" min="6" max="9" width="16.0"/>
    <col customWidth="1" min="10" max="26" width="8.71"/>
  </cols>
  <sheetData>
    <row r="1" ht="48.0" customHeight="1">
      <c r="B1" s="1" t="s">
        <v>168</v>
      </c>
      <c r="C1" s="2"/>
      <c r="D1" s="2"/>
      <c r="E1" s="2"/>
      <c r="F1" s="2"/>
      <c r="G1" s="2"/>
      <c r="H1" s="2"/>
      <c r="I1" s="3"/>
    </row>
    <row r="2">
      <c r="B2" s="48" t="s">
        <v>19</v>
      </c>
    </row>
    <row r="3" ht="9.75" customHeight="1"/>
    <row r="4" ht="27.75" customHeight="1">
      <c r="B4" s="26" t="s">
        <v>169</v>
      </c>
      <c r="C4" s="6"/>
      <c r="D4" s="6"/>
      <c r="E4" s="6"/>
      <c r="F4" s="6"/>
      <c r="G4" s="6"/>
      <c r="H4" s="6"/>
      <c r="I4" s="7"/>
    </row>
    <row r="5" ht="25.5" customHeight="1">
      <c r="B5" s="29" t="s">
        <v>123</v>
      </c>
      <c r="C5" s="29" t="s">
        <v>170</v>
      </c>
      <c r="D5" s="29" t="s">
        <v>171</v>
      </c>
      <c r="E5" s="29" t="s">
        <v>172</v>
      </c>
      <c r="F5" s="29" t="s">
        <v>173</v>
      </c>
      <c r="G5" s="29" t="s">
        <v>174</v>
      </c>
      <c r="H5" s="29" t="s">
        <v>175</v>
      </c>
      <c r="I5" s="29" t="s">
        <v>16</v>
      </c>
    </row>
    <row r="6" ht="24.0" customHeight="1">
      <c r="B6" s="69" t="s">
        <v>130</v>
      </c>
      <c r="C6" s="88" t="s">
        <v>176</v>
      </c>
      <c r="D6" s="89"/>
      <c r="E6" s="71"/>
      <c r="F6" s="71"/>
      <c r="G6" s="71"/>
      <c r="H6" s="71"/>
      <c r="I6" s="71"/>
    </row>
    <row r="7" ht="24.0" customHeight="1">
      <c r="B7" s="72" t="s">
        <v>130</v>
      </c>
      <c r="C7" s="90" t="s">
        <v>177</v>
      </c>
      <c r="D7" s="91"/>
      <c r="E7" s="73"/>
      <c r="F7" s="73"/>
      <c r="G7" s="73"/>
      <c r="H7" s="73"/>
      <c r="I7" s="73"/>
    </row>
    <row r="8" ht="24.0" customHeight="1">
      <c r="B8" s="69" t="s">
        <v>130</v>
      </c>
      <c r="C8" s="88" t="s">
        <v>178</v>
      </c>
      <c r="D8" s="89"/>
      <c r="E8" s="71"/>
      <c r="F8" s="71"/>
      <c r="G8" s="71"/>
      <c r="H8" s="71"/>
      <c r="I8" s="71"/>
    </row>
    <row r="9" ht="24.0" customHeight="1">
      <c r="B9" s="72" t="s">
        <v>130</v>
      </c>
      <c r="C9" s="90" t="s">
        <v>179</v>
      </c>
      <c r="D9" s="91"/>
      <c r="E9" s="73"/>
      <c r="F9" s="73"/>
      <c r="G9" s="73"/>
      <c r="H9" s="73"/>
      <c r="I9" s="73"/>
    </row>
    <row r="10" ht="24.0" customHeight="1">
      <c r="B10" s="69" t="s">
        <v>130</v>
      </c>
      <c r="C10" s="88" t="s">
        <v>180</v>
      </c>
      <c r="D10" s="89"/>
      <c r="E10" s="71"/>
      <c r="F10" s="71"/>
      <c r="G10" s="71"/>
      <c r="H10" s="71"/>
      <c r="I10" s="71"/>
    </row>
    <row r="11" ht="24.0" customHeight="1">
      <c r="B11" s="72" t="s">
        <v>130</v>
      </c>
      <c r="C11" s="90" t="s">
        <v>181</v>
      </c>
      <c r="D11" s="91"/>
      <c r="E11" s="73"/>
      <c r="F11" s="73"/>
      <c r="G11" s="73"/>
      <c r="H11" s="73"/>
      <c r="I11" s="73"/>
    </row>
    <row r="12" ht="24.0" customHeight="1">
      <c r="B12" s="69" t="s">
        <v>132</v>
      </c>
      <c r="C12" s="88" t="s">
        <v>182</v>
      </c>
      <c r="D12" s="89"/>
      <c r="E12" s="71"/>
      <c r="F12" s="71"/>
      <c r="G12" s="71"/>
      <c r="H12" s="71"/>
      <c r="I12" s="71"/>
    </row>
    <row r="13" ht="24.0" customHeight="1">
      <c r="B13" s="72" t="s">
        <v>132</v>
      </c>
      <c r="C13" s="90" t="s">
        <v>181</v>
      </c>
      <c r="D13" s="91"/>
      <c r="E13" s="73"/>
      <c r="F13" s="73"/>
      <c r="G13" s="73"/>
      <c r="H13" s="73"/>
      <c r="I13" s="73"/>
    </row>
    <row r="14" ht="24.0" customHeight="1">
      <c r="B14" s="69" t="s">
        <v>133</v>
      </c>
      <c r="C14" s="88" t="s">
        <v>183</v>
      </c>
      <c r="D14" s="89"/>
      <c r="E14" s="71"/>
      <c r="F14" s="71"/>
      <c r="G14" s="71"/>
      <c r="H14" s="71"/>
      <c r="I14" s="71"/>
    </row>
    <row r="15" ht="24.0" customHeight="1">
      <c r="B15" s="72" t="s">
        <v>133</v>
      </c>
      <c r="C15" s="90" t="s">
        <v>184</v>
      </c>
      <c r="D15" s="91"/>
      <c r="E15" s="73"/>
      <c r="F15" s="73"/>
      <c r="G15" s="73"/>
      <c r="H15" s="73"/>
      <c r="I15" s="73"/>
    </row>
    <row r="16" ht="24.0" customHeight="1">
      <c r="B16" s="69" t="s">
        <v>133</v>
      </c>
      <c r="C16" s="88" t="s">
        <v>185</v>
      </c>
      <c r="D16" s="89"/>
      <c r="E16" s="71"/>
      <c r="F16" s="71"/>
      <c r="G16" s="71"/>
      <c r="H16" s="71"/>
      <c r="I16" s="71"/>
    </row>
    <row r="17" ht="24.0" customHeight="1">
      <c r="B17" s="72" t="s">
        <v>134</v>
      </c>
      <c r="C17" s="90" t="s">
        <v>186</v>
      </c>
      <c r="D17" s="91"/>
      <c r="E17" s="73"/>
      <c r="F17" s="73"/>
      <c r="G17" s="73"/>
      <c r="H17" s="73"/>
      <c r="I17" s="73"/>
    </row>
    <row r="18" ht="24.0" customHeight="1">
      <c r="B18" s="69" t="s">
        <v>135</v>
      </c>
      <c r="C18" s="88" t="s">
        <v>187</v>
      </c>
      <c r="D18" s="89"/>
      <c r="E18" s="71"/>
      <c r="F18" s="71"/>
      <c r="G18" s="71"/>
      <c r="H18" s="71"/>
      <c r="I18" s="71"/>
    </row>
    <row r="19" ht="7.5" customHeight="1"/>
    <row r="20" ht="27.75" customHeight="1">
      <c r="B20" s="26" t="s">
        <v>188</v>
      </c>
      <c r="C20" s="6"/>
      <c r="D20" s="6"/>
      <c r="E20" s="6"/>
      <c r="F20" s="6"/>
      <c r="G20" s="6"/>
      <c r="H20" s="6"/>
      <c r="I20" s="7"/>
    </row>
    <row r="21" ht="18.0" customHeight="1">
      <c r="B21" s="74" t="s">
        <v>189</v>
      </c>
      <c r="C21" s="2"/>
      <c r="D21" s="2"/>
      <c r="E21" s="2"/>
      <c r="F21" s="2"/>
      <c r="G21" s="2"/>
      <c r="H21" s="2"/>
      <c r="I21" s="3"/>
    </row>
    <row r="22" ht="36.0" customHeight="1">
      <c r="B22" s="92"/>
      <c r="C22" s="9"/>
      <c r="D22" s="9"/>
      <c r="E22" s="9"/>
      <c r="F22" s="9"/>
      <c r="G22" s="9"/>
      <c r="H22" s="9"/>
      <c r="I22" s="10"/>
    </row>
    <row r="23" ht="3.75" customHeight="1"/>
    <row r="24" ht="18.0" customHeight="1">
      <c r="B24" s="74" t="s">
        <v>190</v>
      </c>
      <c r="C24" s="2"/>
      <c r="D24" s="2"/>
      <c r="E24" s="2"/>
      <c r="F24" s="2"/>
      <c r="G24" s="2"/>
      <c r="H24" s="2"/>
      <c r="I24" s="3"/>
    </row>
    <row r="25" ht="36.0" customHeight="1">
      <c r="B25" s="92"/>
      <c r="C25" s="9"/>
      <c r="D25" s="9"/>
      <c r="E25" s="9"/>
      <c r="F25" s="9"/>
      <c r="G25" s="9"/>
      <c r="H25" s="9"/>
      <c r="I25" s="10"/>
    </row>
    <row r="26" ht="3.75" customHeight="1"/>
    <row r="27" ht="18.0" customHeight="1">
      <c r="B27" s="74" t="s">
        <v>191</v>
      </c>
      <c r="C27" s="2"/>
      <c r="D27" s="2"/>
      <c r="E27" s="2"/>
      <c r="F27" s="2"/>
      <c r="G27" s="2"/>
      <c r="H27" s="2"/>
      <c r="I27" s="3"/>
    </row>
    <row r="28" ht="36.0" customHeight="1">
      <c r="B28" s="92"/>
      <c r="C28" s="9"/>
      <c r="D28" s="9"/>
      <c r="E28" s="9"/>
      <c r="F28" s="9"/>
      <c r="G28" s="9"/>
      <c r="H28" s="9"/>
      <c r="I28" s="10"/>
    </row>
    <row r="29" ht="3.75" customHeight="1"/>
    <row r="30" ht="18.0" customHeight="1">
      <c r="B30" s="74" t="s">
        <v>192</v>
      </c>
      <c r="C30" s="2"/>
      <c r="D30" s="2"/>
      <c r="E30" s="2"/>
      <c r="F30" s="2"/>
      <c r="G30" s="2"/>
      <c r="H30" s="2"/>
      <c r="I30" s="3"/>
    </row>
    <row r="31" ht="36.0" customHeight="1">
      <c r="B31" s="92"/>
      <c r="C31" s="9"/>
      <c r="D31" s="9"/>
      <c r="E31" s="9"/>
      <c r="F31" s="9"/>
      <c r="G31" s="9"/>
      <c r="H31" s="9"/>
      <c r="I31" s="10"/>
    </row>
    <row r="32" ht="3.75" customHeight="1"/>
    <row r="33" ht="18.0" customHeight="1">
      <c r="B33" s="74" t="s">
        <v>193</v>
      </c>
      <c r="C33" s="2"/>
      <c r="D33" s="2"/>
      <c r="E33" s="2"/>
      <c r="F33" s="2"/>
      <c r="G33" s="2"/>
      <c r="H33" s="2"/>
      <c r="I33" s="3"/>
    </row>
    <row r="34" ht="36.0" customHeight="1">
      <c r="B34" s="92"/>
      <c r="C34" s="9"/>
      <c r="D34" s="9"/>
      <c r="E34" s="9"/>
      <c r="F34" s="9"/>
      <c r="G34" s="9"/>
      <c r="H34" s="9"/>
      <c r="I34" s="10"/>
    </row>
    <row r="35" ht="3.75" customHeight="1"/>
    <row r="36" ht="7.5" customHeight="1"/>
    <row r="37" ht="27.75" customHeight="1">
      <c r="B37" s="26" t="s">
        <v>194</v>
      </c>
      <c r="C37" s="6"/>
      <c r="D37" s="6"/>
      <c r="E37" s="6"/>
      <c r="F37" s="6"/>
      <c r="G37" s="6"/>
      <c r="H37" s="6"/>
      <c r="I37" s="7"/>
    </row>
    <row r="38" ht="25.5" customHeight="1">
      <c r="B38" s="29" t="s">
        <v>45</v>
      </c>
      <c r="C38" s="29" t="s">
        <v>14</v>
      </c>
      <c r="D38" s="29" t="s">
        <v>195</v>
      </c>
      <c r="E38" s="29" t="s">
        <v>13</v>
      </c>
      <c r="F38" s="29" t="s">
        <v>196</v>
      </c>
    </row>
    <row r="39" ht="24.75" customHeight="1">
      <c r="B39" s="52">
        <v>1.0</v>
      </c>
      <c r="C39" s="71" t="s">
        <v>34</v>
      </c>
      <c r="D39" s="54" t="s">
        <v>197</v>
      </c>
      <c r="E39" s="44" t="s">
        <v>198</v>
      </c>
      <c r="F39" s="43"/>
    </row>
    <row r="40" ht="24.75" customHeight="1">
      <c r="B40" s="56">
        <v>2.0</v>
      </c>
      <c r="C40" s="73" t="s">
        <v>34</v>
      </c>
      <c r="D40" s="58" t="s">
        <v>199</v>
      </c>
      <c r="E40" s="47" t="s">
        <v>200</v>
      </c>
      <c r="F40" s="46"/>
    </row>
    <row r="41" ht="24.75" customHeight="1">
      <c r="B41" s="52">
        <v>3.0</v>
      </c>
      <c r="C41" s="71" t="s">
        <v>34</v>
      </c>
      <c r="D41" s="54" t="s">
        <v>201</v>
      </c>
      <c r="E41" s="44" t="s">
        <v>200</v>
      </c>
      <c r="F41" s="43"/>
    </row>
    <row r="42" ht="24.75" customHeight="1">
      <c r="B42" s="56">
        <v>4.0</v>
      </c>
      <c r="C42" s="73" t="s">
        <v>34</v>
      </c>
      <c r="D42" s="58" t="s">
        <v>202</v>
      </c>
      <c r="E42" s="47" t="s">
        <v>198</v>
      </c>
      <c r="F42" s="46"/>
    </row>
    <row r="43" ht="24.75" customHeight="1">
      <c r="B43" s="52">
        <v>5.0</v>
      </c>
      <c r="C43" s="71" t="s">
        <v>34</v>
      </c>
      <c r="D43" s="54" t="s">
        <v>203</v>
      </c>
      <c r="E43" s="44" t="s">
        <v>18</v>
      </c>
      <c r="F43" s="43"/>
    </row>
    <row r="44" ht="24.75" customHeight="1">
      <c r="B44" s="56">
        <v>6.0</v>
      </c>
      <c r="C44" s="73" t="s">
        <v>34</v>
      </c>
      <c r="D44" s="58" t="s">
        <v>204</v>
      </c>
      <c r="E44" s="47" t="s">
        <v>200</v>
      </c>
      <c r="F44" s="46"/>
    </row>
    <row r="45" ht="24.75" customHeight="1">
      <c r="B45" s="52">
        <v>7.0</v>
      </c>
      <c r="C45" s="71" t="s">
        <v>34</v>
      </c>
      <c r="D45" s="54" t="s">
        <v>205</v>
      </c>
      <c r="E45" s="44" t="s">
        <v>200</v>
      </c>
      <c r="F45" s="4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27:I27"/>
    <mergeCell ref="B28:I28"/>
    <mergeCell ref="B30:I30"/>
    <mergeCell ref="B31:I31"/>
    <mergeCell ref="B33:I33"/>
    <mergeCell ref="B34:I34"/>
    <mergeCell ref="B37:I37"/>
    <mergeCell ref="B1:I1"/>
    <mergeCell ref="B4:I4"/>
    <mergeCell ref="B20:I20"/>
    <mergeCell ref="B21:I21"/>
    <mergeCell ref="B22:I22"/>
    <mergeCell ref="B24:I24"/>
    <mergeCell ref="B25:I25"/>
  </mergeCells>
  <dataValidations>
    <dataValidation type="list" allowBlank="1" sqref="E6:F18">
      <formula1>"Sim,Nao"</formula1>
    </dataValidation>
    <dataValidation type="list" allowBlank="1" sqref="C39:C45">
      <formula1>"Entregue,Em producao,Pendente,Nao se aplica"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20.0"/>
    <col customWidth="1" min="4" max="4" width="18.0"/>
    <col customWidth="1" min="5" max="7" width="16.0"/>
    <col customWidth="1" min="8" max="8" width="18.0"/>
    <col customWidth="1" min="9" max="9" width="16.0"/>
    <col customWidth="1" min="10" max="26" width="8.71"/>
  </cols>
  <sheetData>
    <row r="1" ht="48.0" customHeight="1">
      <c r="B1" s="1" t="s">
        <v>206</v>
      </c>
      <c r="C1" s="2"/>
      <c r="D1" s="2"/>
      <c r="E1" s="2"/>
      <c r="F1" s="2"/>
      <c r="G1" s="2"/>
      <c r="H1" s="2"/>
      <c r="I1" s="3"/>
    </row>
    <row r="2">
      <c r="B2" s="48" t="s">
        <v>19</v>
      </c>
    </row>
    <row r="3" ht="9.75" customHeight="1"/>
    <row r="4" ht="27.75" customHeight="1">
      <c r="B4" s="26" t="s">
        <v>207</v>
      </c>
      <c r="C4" s="6"/>
      <c r="D4" s="6"/>
      <c r="E4" s="6"/>
      <c r="F4" s="6"/>
      <c r="G4" s="6"/>
      <c r="H4" s="6"/>
      <c r="I4" s="7"/>
    </row>
    <row r="5" ht="25.5" customHeight="1">
      <c r="B5" s="29" t="s">
        <v>208</v>
      </c>
      <c r="C5" s="29" t="s">
        <v>209</v>
      </c>
      <c r="D5" s="29" t="s">
        <v>210</v>
      </c>
      <c r="E5" s="29" t="s">
        <v>211</v>
      </c>
      <c r="F5" s="29" t="s">
        <v>14</v>
      </c>
      <c r="G5" s="29" t="s">
        <v>212</v>
      </c>
      <c r="H5" s="29" t="s">
        <v>213</v>
      </c>
      <c r="I5" s="29" t="s">
        <v>16</v>
      </c>
    </row>
    <row r="6" ht="24.75" customHeight="1">
      <c r="B6" s="93" t="s">
        <v>214</v>
      </c>
      <c r="C6" s="94"/>
      <c r="D6" s="94"/>
      <c r="E6" s="94"/>
      <c r="F6" s="94"/>
      <c r="G6" s="94"/>
      <c r="H6" s="95"/>
      <c r="I6" s="94"/>
    </row>
    <row r="7" ht="24.75" customHeight="1">
      <c r="B7" s="96" t="s">
        <v>215</v>
      </c>
      <c r="C7" s="97"/>
      <c r="D7" s="97"/>
      <c r="E7" s="97"/>
      <c r="F7" s="97"/>
      <c r="G7" s="97"/>
      <c r="H7" s="98"/>
      <c r="I7" s="97"/>
    </row>
    <row r="8" ht="24.75" customHeight="1">
      <c r="B8" s="93" t="s">
        <v>216</v>
      </c>
      <c r="C8" s="94"/>
      <c r="D8" s="94"/>
      <c r="E8" s="94"/>
      <c r="F8" s="94"/>
      <c r="G8" s="94"/>
      <c r="H8" s="95"/>
      <c r="I8" s="94"/>
    </row>
    <row r="9" ht="24.75" customHeight="1">
      <c r="B9" s="96" t="s">
        <v>217</v>
      </c>
      <c r="C9" s="97"/>
      <c r="D9" s="97"/>
      <c r="E9" s="97"/>
      <c r="F9" s="97"/>
      <c r="G9" s="97"/>
      <c r="H9" s="98"/>
      <c r="I9" s="97"/>
    </row>
    <row r="10" ht="24.75" customHeight="1">
      <c r="B10" s="93" t="s">
        <v>218</v>
      </c>
      <c r="C10" s="94"/>
      <c r="D10" s="94"/>
      <c r="E10" s="94"/>
      <c r="F10" s="94"/>
      <c r="G10" s="94"/>
      <c r="H10" s="95"/>
      <c r="I10" s="94"/>
    </row>
    <row r="11" ht="24.75" customHeight="1">
      <c r="B11" s="96" t="s">
        <v>219</v>
      </c>
      <c r="C11" s="97"/>
      <c r="D11" s="97"/>
      <c r="E11" s="97"/>
      <c r="F11" s="97"/>
      <c r="G11" s="97"/>
      <c r="H11" s="98"/>
      <c r="I11" s="97"/>
    </row>
    <row r="12" ht="24.75" customHeight="1">
      <c r="B12" s="93" t="s">
        <v>220</v>
      </c>
      <c r="C12" s="94"/>
      <c r="D12" s="94"/>
      <c r="E12" s="94"/>
      <c r="F12" s="94"/>
      <c r="G12" s="94"/>
      <c r="H12" s="95"/>
      <c r="I12" s="94"/>
    </row>
    <row r="13" ht="24.75" customHeight="1">
      <c r="B13" s="96" t="s">
        <v>221</v>
      </c>
      <c r="C13" s="97"/>
      <c r="D13" s="97"/>
      <c r="E13" s="97"/>
      <c r="F13" s="97"/>
      <c r="G13" s="97"/>
      <c r="H13" s="98"/>
      <c r="I13" s="97"/>
    </row>
    <row r="14" ht="24.75" customHeight="1">
      <c r="B14" s="93" t="s">
        <v>222</v>
      </c>
      <c r="C14" s="94"/>
      <c r="D14" s="94"/>
      <c r="E14" s="94"/>
      <c r="F14" s="94"/>
      <c r="G14" s="94"/>
      <c r="H14" s="95"/>
      <c r="I14" s="94"/>
    </row>
    <row r="15" ht="24.75" customHeight="1">
      <c r="B15" s="96" t="s">
        <v>223</v>
      </c>
      <c r="C15" s="97"/>
      <c r="D15" s="97"/>
      <c r="E15" s="97"/>
      <c r="F15" s="97"/>
      <c r="G15" s="97"/>
      <c r="H15" s="98"/>
      <c r="I15" s="97"/>
    </row>
    <row r="16" ht="7.5" customHeight="1"/>
    <row r="17" ht="27.75" customHeight="1">
      <c r="B17" s="26" t="s">
        <v>224</v>
      </c>
      <c r="C17" s="6"/>
      <c r="D17" s="6"/>
      <c r="E17" s="6"/>
      <c r="F17" s="6"/>
      <c r="G17" s="6"/>
      <c r="H17" s="6"/>
      <c r="I17" s="7"/>
    </row>
    <row r="18" ht="25.5" customHeight="1">
      <c r="B18" s="29" t="s">
        <v>208</v>
      </c>
      <c r="C18" s="29" t="s">
        <v>209</v>
      </c>
      <c r="D18" s="29" t="s">
        <v>225</v>
      </c>
      <c r="E18" s="29" t="s">
        <v>170</v>
      </c>
      <c r="F18" s="29" t="s">
        <v>226</v>
      </c>
      <c r="G18" s="29" t="s">
        <v>227</v>
      </c>
      <c r="H18" s="29" t="s">
        <v>228</v>
      </c>
      <c r="I18" s="29" t="s">
        <v>16</v>
      </c>
    </row>
    <row r="19" ht="24.0" customHeight="1">
      <c r="B19" s="94"/>
      <c r="C19" s="94"/>
      <c r="D19" s="94"/>
      <c r="E19" s="94"/>
      <c r="F19" s="95"/>
      <c r="G19" s="94"/>
      <c r="H19" s="94"/>
      <c r="I19" s="94"/>
    </row>
    <row r="20" ht="24.0" customHeight="1">
      <c r="B20" s="97"/>
      <c r="C20" s="97"/>
      <c r="D20" s="97"/>
      <c r="E20" s="97"/>
      <c r="F20" s="98"/>
      <c r="G20" s="97"/>
      <c r="H20" s="97"/>
      <c r="I20" s="97"/>
    </row>
    <row r="21" ht="24.0" customHeight="1">
      <c r="B21" s="94"/>
      <c r="C21" s="94"/>
      <c r="D21" s="94"/>
      <c r="E21" s="94"/>
      <c r="F21" s="95"/>
      <c r="G21" s="94"/>
      <c r="H21" s="94"/>
      <c r="I21" s="94"/>
    </row>
    <row r="22" ht="24.0" customHeight="1">
      <c r="B22" s="97"/>
      <c r="C22" s="97"/>
      <c r="D22" s="97"/>
      <c r="E22" s="97"/>
      <c r="F22" s="98"/>
      <c r="G22" s="97"/>
      <c r="H22" s="97"/>
      <c r="I22" s="97"/>
    </row>
    <row r="23" ht="24.0" customHeight="1">
      <c r="B23" s="94"/>
      <c r="C23" s="94"/>
      <c r="D23" s="94"/>
      <c r="E23" s="94"/>
      <c r="F23" s="95"/>
      <c r="G23" s="94"/>
      <c r="H23" s="94"/>
      <c r="I23" s="94"/>
    </row>
    <row r="24" ht="24.0" customHeight="1">
      <c r="B24" s="97"/>
      <c r="C24" s="97"/>
      <c r="D24" s="97"/>
      <c r="E24" s="97"/>
      <c r="F24" s="98"/>
      <c r="G24" s="97"/>
      <c r="H24" s="97"/>
      <c r="I24" s="97"/>
    </row>
    <row r="25" ht="24.0" customHeight="1">
      <c r="B25" s="94"/>
      <c r="C25" s="94"/>
      <c r="D25" s="94"/>
      <c r="E25" s="94"/>
      <c r="F25" s="95"/>
      <c r="G25" s="94"/>
      <c r="H25" s="94"/>
      <c r="I25" s="94"/>
    </row>
    <row r="26" ht="24.0" customHeight="1">
      <c r="B26" s="97"/>
      <c r="C26" s="97"/>
      <c r="D26" s="97"/>
      <c r="E26" s="97"/>
      <c r="F26" s="98"/>
      <c r="G26" s="97"/>
      <c r="H26" s="97"/>
      <c r="I26" s="97"/>
    </row>
    <row r="27" ht="24.0" customHeight="1">
      <c r="B27" s="94"/>
      <c r="C27" s="94"/>
      <c r="D27" s="94"/>
      <c r="E27" s="94"/>
      <c r="F27" s="95"/>
      <c r="G27" s="94"/>
      <c r="H27" s="94"/>
      <c r="I27" s="94"/>
    </row>
    <row r="28" ht="24.0" customHeight="1">
      <c r="B28" s="97"/>
      <c r="C28" s="97"/>
      <c r="D28" s="97"/>
      <c r="E28" s="97"/>
      <c r="F28" s="98"/>
      <c r="G28" s="97"/>
      <c r="H28" s="97"/>
      <c r="I28" s="97"/>
    </row>
    <row r="29" ht="24.0" customHeight="1">
      <c r="B29" s="94"/>
      <c r="C29" s="94"/>
      <c r="D29" s="94"/>
      <c r="E29" s="94"/>
      <c r="F29" s="95"/>
      <c r="G29" s="94"/>
      <c r="H29" s="94"/>
      <c r="I29" s="94"/>
    </row>
    <row r="30" ht="24.0" customHeight="1">
      <c r="B30" s="97"/>
      <c r="C30" s="97"/>
      <c r="D30" s="97"/>
      <c r="E30" s="97"/>
      <c r="F30" s="98"/>
      <c r="G30" s="97"/>
      <c r="H30" s="97"/>
      <c r="I30" s="97"/>
    </row>
    <row r="31" ht="24.0" customHeight="1">
      <c r="B31" s="94"/>
      <c r="C31" s="94"/>
      <c r="D31" s="94"/>
      <c r="E31" s="94"/>
      <c r="F31" s="95"/>
      <c r="G31" s="94"/>
      <c r="H31" s="94"/>
      <c r="I31" s="94"/>
    </row>
    <row r="32" ht="24.0" customHeight="1">
      <c r="B32" s="97"/>
      <c r="C32" s="97"/>
      <c r="D32" s="97"/>
      <c r="E32" s="97"/>
      <c r="F32" s="98"/>
      <c r="G32" s="97"/>
      <c r="H32" s="97"/>
      <c r="I32" s="97"/>
    </row>
    <row r="33" ht="24.0" customHeight="1">
      <c r="B33" s="94"/>
      <c r="C33" s="94"/>
      <c r="D33" s="94"/>
      <c r="E33" s="94"/>
      <c r="F33" s="95"/>
      <c r="G33" s="94"/>
      <c r="H33" s="94"/>
      <c r="I33" s="94"/>
    </row>
    <row r="34" ht="7.5" customHeight="1"/>
    <row r="35" ht="27.75" customHeight="1">
      <c r="B35" s="26" t="s">
        <v>229</v>
      </c>
      <c r="C35" s="6"/>
      <c r="D35" s="6"/>
      <c r="E35" s="6"/>
      <c r="F35" s="6"/>
      <c r="G35" s="6"/>
      <c r="H35" s="6"/>
      <c r="I35" s="7"/>
    </row>
    <row r="36" ht="25.5" customHeight="1">
      <c r="B36" s="29" t="s">
        <v>230</v>
      </c>
      <c r="C36" s="29" t="s">
        <v>231</v>
      </c>
      <c r="D36" s="29" t="s">
        <v>232</v>
      </c>
      <c r="E36" s="29" t="s">
        <v>233</v>
      </c>
      <c r="F36" s="29" t="s">
        <v>234</v>
      </c>
      <c r="G36" s="29" t="s">
        <v>47</v>
      </c>
      <c r="H36" s="29" t="s">
        <v>14</v>
      </c>
      <c r="I36" s="29" t="s">
        <v>16</v>
      </c>
    </row>
    <row r="37" ht="24.75" customHeight="1">
      <c r="B37" s="44" t="s">
        <v>235</v>
      </c>
      <c r="C37" s="94"/>
      <c r="D37" s="94"/>
      <c r="E37" s="94"/>
      <c r="F37" s="94"/>
      <c r="G37" s="94"/>
      <c r="H37" s="94"/>
      <c r="I37" s="94"/>
    </row>
    <row r="38" ht="24.75" customHeight="1">
      <c r="B38" s="47" t="s">
        <v>235</v>
      </c>
      <c r="C38" s="97"/>
      <c r="D38" s="97"/>
      <c r="E38" s="97"/>
      <c r="F38" s="97"/>
      <c r="G38" s="97"/>
      <c r="H38" s="97"/>
      <c r="I38" s="97"/>
    </row>
    <row r="39" ht="24.75" customHeight="1">
      <c r="B39" s="44" t="s">
        <v>235</v>
      </c>
      <c r="C39" s="94"/>
      <c r="D39" s="94"/>
      <c r="E39" s="94"/>
      <c r="F39" s="94"/>
      <c r="G39" s="94"/>
      <c r="H39" s="94"/>
      <c r="I39" s="94"/>
    </row>
    <row r="40" ht="24.75" customHeight="1">
      <c r="B40" s="47" t="s">
        <v>236</v>
      </c>
      <c r="C40" s="97"/>
      <c r="D40" s="97"/>
      <c r="E40" s="97"/>
      <c r="F40" s="97"/>
      <c r="G40" s="97"/>
      <c r="H40" s="97"/>
      <c r="I40" s="97"/>
    </row>
    <row r="41" ht="24.75" customHeight="1">
      <c r="B41" s="44" t="s">
        <v>236</v>
      </c>
      <c r="C41" s="94"/>
      <c r="D41" s="94"/>
      <c r="E41" s="94"/>
      <c r="F41" s="94"/>
      <c r="G41" s="94"/>
      <c r="H41" s="94"/>
      <c r="I41" s="94"/>
    </row>
    <row r="42" ht="24.75" customHeight="1">
      <c r="B42" s="47" t="s">
        <v>237</v>
      </c>
      <c r="C42" s="97"/>
      <c r="D42" s="97"/>
      <c r="E42" s="97"/>
      <c r="F42" s="97"/>
      <c r="G42" s="97"/>
      <c r="H42" s="97"/>
      <c r="I42" s="97"/>
    </row>
    <row r="43" ht="24.75" customHeight="1">
      <c r="B43" s="44" t="s">
        <v>237</v>
      </c>
      <c r="C43" s="94"/>
      <c r="D43" s="94"/>
      <c r="E43" s="94"/>
      <c r="F43" s="94"/>
      <c r="G43" s="94"/>
      <c r="H43" s="94"/>
      <c r="I43" s="94"/>
    </row>
    <row r="44" ht="24.75" customHeight="1">
      <c r="B44" s="47" t="s">
        <v>238</v>
      </c>
      <c r="C44" s="97"/>
      <c r="D44" s="97"/>
      <c r="E44" s="97"/>
      <c r="F44" s="97"/>
      <c r="G44" s="97"/>
      <c r="H44" s="97"/>
      <c r="I44" s="97"/>
    </row>
    <row r="45" ht="24.75" customHeight="1">
      <c r="B45" s="44" t="s">
        <v>238</v>
      </c>
      <c r="C45" s="94"/>
      <c r="D45" s="94"/>
      <c r="E45" s="94"/>
      <c r="F45" s="94"/>
      <c r="G45" s="94"/>
      <c r="H45" s="94"/>
      <c r="I45" s="94"/>
    </row>
    <row r="46" ht="24.75" customHeight="1">
      <c r="B46" s="47" t="s">
        <v>239</v>
      </c>
      <c r="C46" s="97"/>
      <c r="D46" s="97"/>
      <c r="E46" s="97"/>
      <c r="F46" s="97"/>
      <c r="G46" s="97"/>
      <c r="H46" s="97"/>
      <c r="I46" s="97"/>
    </row>
    <row r="47" ht="24.75" customHeight="1">
      <c r="B47" s="44" t="s">
        <v>239</v>
      </c>
      <c r="C47" s="94"/>
      <c r="D47" s="94"/>
      <c r="E47" s="94"/>
      <c r="F47" s="94"/>
      <c r="G47" s="94"/>
      <c r="H47" s="94"/>
      <c r="I47" s="9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I1"/>
    <mergeCell ref="B4:I4"/>
    <mergeCell ref="B17:I17"/>
    <mergeCell ref="B35:I35"/>
  </mergeCells>
  <dataValidations>
    <dataValidation type="list" allowBlank="1" sqref="G19:G33">
      <formula1>"Sim,Nao,Em andamento"</formula1>
    </dataValidation>
    <dataValidation type="list" allowBlank="1" sqref="G6:G15">
      <formula1>"Alta,Media,Baixa"</formula1>
    </dataValidation>
    <dataValidation type="list" allowBlank="1" sqref="H37:H47">
      <formula1>"Em andamento,Atingida,Nao atingida,Revisada"</formula1>
    </dataValidation>
    <dataValidation type="list" allowBlank="1" sqref="E6:E15">
      <formula1>"Sim,Nao"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3.86"/>
    <col customWidth="1" min="3" max="3" width="42.29"/>
    <col customWidth="1" min="4" max="4" width="22.0"/>
    <col customWidth="1" min="5" max="5" width="18.0"/>
    <col customWidth="1" min="6" max="7" width="16.0"/>
    <col customWidth="1" min="8" max="8" width="36.14"/>
    <col customWidth="1" min="9" max="9" width="16.0"/>
    <col customWidth="1" min="10" max="26" width="8.71"/>
  </cols>
  <sheetData>
    <row r="1" ht="48.0" customHeight="1">
      <c r="B1" s="1" t="s">
        <v>240</v>
      </c>
      <c r="C1" s="2"/>
      <c r="D1" s="2"/>
      <c r="E1" s="2"/>
      <c r="F1" s="2"/>
      <c r="G1" s="2"/>
      <c r="H1" s="2"/>
      <c r="I1" s="3"/>
    </row>
    <row r="2">
      <c r="B2" s="48" t="s">
        <v>19</v>
      </c>
    </row>
    <row r="3" ht="9.75" customHeight="1"/>
    <row r="4" ht="27.75" customHeight="1">
      <c r="B4" s="26" t="s">
        <v>241</v>
      </c>
      <c r="C4" s="6"/>
      <c r="D4" s="6"/>
      <c r="E4" s="6"/>
      <c r="F4" s="6"/>
      <c r="G4" s="6"/>
      <c r="H4" s="6"/>
      <c r="I4" s="7"/>
    </row>
    <row r="5" ht="25.5" customHeight="1">
      <c r="B5" s="29" t="s">
        <v>242</v>
      </c>
      <c r="C5" s="29" t="s">
        <v>243</v>
      </c>
      <c r="D5" s="29" t="s">
        <v>244</v>
      </c>
      <c r="E5" s="29" t="s">
        <v>245</v>
      </c>
      <c r="F5" s="29" t="s">
        <v>14</v>
      </c>
      <c r="G5" s="29" t="s">
        <v>158</v>
      </c>
      <c r="H5" s="29" t="s">
        <v>16</v>
      </c>
    </row>
    <row r="6" ht="24.75" customHeight="1">
      <c r="B6" s="69" t="s">
        <v>246</v>
      </c>
      <c r="C6" s="94"/>
      <c r="D6" s="94"/>
      <c r="E6" s="94"/>
      <c r="F6" s="94"/>
      <c r="G6" s="99"/>
      <c r="H6" s="94"/>
    </row>
    <row r="7" ht="24.75" customHeight="1">
      <c r="B7" s="72" t="s">
        <v>247</v>
      </c>
      <c r="C7" s="97"/>
      <c r="D7" s="97"/>
      <c r="E7" s="97"/>
      <c r="F7" s="97"/>
      <c r="G7" s="100"/>
      <c r="H7" s="97"/>
    </row>
    <row r="8" ht="24.75" customHeight="1">
      <c r="B8" s="69" t="s">
        <v>248</v>
      </c>
      <c r="C8" s="94"/>
      <c r="D8" s="94"/>
      <c r="E8" s="94"/>
      <c r="F8" s="94"/>
      <c r="G8" s="99"/>
      <c r="H8" s="94"/>
    </row>
    <row r="9" ht="24.75" customHeight="1">
      <c r="B9" s="72" t="s">
        <v>249</v>
      </c>
      <c r="C9" s="97"/>
      <c r="D9" s="97"/>
      <c r="E9" s="97"/>
      <c r="F9" s="97"/>
      <c r="G9" s="100"/>
      <c r="H9" s="97"/>
    </row>
    <row r="10" ht="24.75" customHeight="1">
      <c r="B10" s="69" t="s">
        <v>250</v>
      </c>
      <c r="C10" s="94"/>
      <c r="D10" s="94"/>
      <c r="E10" s="94"/>
      <c r="F10" s="94"/>
      <c r="G10" s="99"/>
      <c r="H10" s="94"/>
    </row>
    <row r="11" ht="24.75" customHeight="1">
      <c r="B11" s="72" t="s">
        <v>251</v>
      </c>
      <c r="C11" s="97"/>
      <c r="D11" s="97"/>
      <c r="E11" s="97"/>
      <c r="F11" s="97"/>
      <c r="G11" s="100"/>
      <c r="H11" s="97"/>
    </row>
    <row r="12" ht="24.75" customHeight="1">
      <c r="B12" s="69" t="s">
        <v>252</v>
      </c>
      <c r="C12" s="94"/>
      <c r="D12" s="94"/>
      <c r="E12" s="94"/>
      <c r="F12" s="94"/>
      <c r="G12" s="99"/>
      <c r="H12" s="94"/>
    </row>
    <row r="13" ht="24.75" customHeight="1">
      <c r="B13" s="72" t="s">
        <v>253</v>
      </c>
      <c r="C13" s="97"/>
      <c r="D13" s="97"/>
      <c r="E13" s="97"/>
      <c r="F13" s="97"/>
      <c r="G13" s="100"/>
      <c r="H13" s="97"/>
    </row>
    <row r="14" ht="24.75" customHeight="1">
      <c r="B14" s="69" t="s">
        <v>254</v>
      </c>
      <c r="C14" s="94"/>
      <c r="D14" s="94"/>
      <c r="E14" s="94"/>
      <c r="F14" s="94"/>
      <c r="G14" s="99"/>
      <c r="H14" s="94"/>
    </row>
    <row r="15" ht="24.75" customHeight="1">
      <c r="B15" s="72" t="s">
        <v>255</v>
      </c>
      <c r="C15" s="97"/>
      <c r="D15" s="97"/>
      <c r="E15" s="97"/>
      <c r="F15" s="97"/>
      <c r="G15" s="100"/>
      <c r="H15" s="97"/>
    </row>
    <row r="16" ht="24.75" customHeight="1">
      <c r="B16" s="69" t="s">
        <v>256</v>
      </c>
      <c r="C16" s="94"/>
      <c r="D16" s="94"/>
      <c r="E16" s="94"/>
      <c r="F16" s="94"/>
      <c r="G16" s="99"/>
      <c r="H16" s="94"/>
    </row>
    <row r="17" ht="7.5" customHeight="1"/>
    <row r="18" ht="27.75" customHeight="1">
      <c r="B18" s="26" t="s">
        <v>257</v>
      </c>
      <c r="C18" s="6"/>
      <c r="D18" s="6"/>
      <c r="E18" s="6"/>
      <c r="F18" s="6"/>
      <c r="G18" s="6"/>
      <c r="H18" s="6"/>
      <c r="I18" s="7"/>
    </row>
    <row r="19" ht="25.5" customHeight="1">
      <c r="B19" s="29" t="s">
        <v>258</v>
      </c>
      <c r="C19" s="29" t="s">
        <v>259</v>
      </c>
      <c r="D19" s="29" t="s">
        <v>260</v>
      </c>
      <c r="E19" s="29" t="s">
        <v>261</v>
      </c>
      <c r="F19" s="29" t="s">
        <v>262</v>
      </c>
      <c r="G19" s="29" t="s">
        <v>263</v>
      </c>
      <c r="H19" s="29" t="s">
        <v>32</v>
      </c>
      <c r="I19" s="29"/>
    </row>
    <row r="20" ht="24.75" customHeight="1">
      <c r="B20" s="69" t="s">
        <v>264</v>
      </c>
      <c r="C20" s="71"/>
      <c r="D20" s="71"/>
      <c r="E20" s="71"/>
      <c r="F20" s="71"/>
      <c r="G20" s="71"/>
      <c r="H20" s="71"/>
      <c r="I20" s="71"/>
    </row>
    <row r="21" ht="24.75" customHeight="1">
      <c r="B21" s="72" t="s">
        <v>265</v>
      </c>
      <c r="C21" s="73"/>
      <c r="D21" s="73"/>
      <c r="E21" s="73"/>
      <c r="F21" s="73"/>
      <c r="G21" s="73"/>
      <c r="H21" s="73"/>
      <c r="I21" s="73"/>
    </row>
    <row r="22" ht="24.75" customHeight="1">
      <c r="B22" s="69" t="s">
        <v>266</v>
      </c>
      <c r="C22" s="71"/>
      <c r="D22" s="71"/>
      <c r="E22" s="71"/>
      <c r="F22" s="71"/>
      <c r="G22" s="71"/>
      <c r="H22" s="71"/>
      <c r="I22" s="71"/>
    </row>
    <row r="23" ht="24.75" customHeight="1">
      <c r="B23" s="72" t="s">
        <v>267</v>
      </c>
      <c r="C23" s="73"/>
      <c r="D23" s="73"/>
      <c r="E23" s="73"/>
      <c r="F23" s="73"/>
      <c r="G23" s="73"/>
      <c r="H23" s="73"/>
      <c r="I23" s="73"/>
    </row>
    <row r="24" ht="24.75" customHeight="1">
      <c r="B24" s="69" t="s">
        <v>268</v>
      </c>
      <c r="C24" s="71"/>
      <c r="D24" s="71"/>
      <c r="E24" s="71"/>
      <c r="F24" s="71"/>
      <c r="G24" s="71"/>
      <c r="H24" s="71"/>
      <c r="I24" s="71"/>
    </row>
    <row r="25" ht="24.75" customHeight="1">
      <c r="B25" s="72" t="s">
        <v>269</v>
      </c>
      <c r="C25" s="73"/>
      <c r="D25" s="73"/>
      <c r="E25" s="73"/>
      <c r="F25" s="73"/>
      <c r="G25" s="73"/>
      <c r="H25" s="73"/>
      <c r="I25" s="73"/>
    </row>
    <row r="26" ht="24.75" customHeight="1">
      <c r="B26" s="69" t="s">
        <v>270</v>
      </c>
      <c r="C26" s="71"/>
      <c r="D26" s="71"/>
      <c r="E26" s="71"/>
      <c r="F26" s="71"/>
      <c r="G26" s="71"/>
      <c r="H26" s="71"/>
      <c r="I26" s="71"/>
    </row>
    <row r="27" ht="7.5" customHeight="1"/>
    <row r="28" ht="27.75" customHeight="1">
      <c r="B28" s="26" t="s">
        <v>271</v>
      </c>
      <c r="C28" s="6"/>
      <c r="D28" s="6"/>
      <c r="E28" s="6"/>
      <c r="F28" s="6"/>
      <c r="G28" s="6"/>
      <c r="H28" s="6"/>
      <c r="I28" s="7"/>
    </row>
    <row r="29" ht="69.75" customHeight="1">
      <c r="B29" s="76"/>
      <c r="C29" s="9"/>
      <c r="D29" s="9"/>
      <c r="E29" s="9"/>
      <c r="F29" s="9"/>
      <c r="G29" s="9"/>
      <c r="H29" s="9"/>
      <c r="I29" s="1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I1"/>
    <mergeCell ref="B4:I4"/>
    <mergeCell ref="B18:I18"/>
    <mergeCell ref="B28:I28"/>
    <mergeCell ref="B29:I29"/>
  </mergeCells>
  <dataValidations>
    <dataValidation type="list" allowBlank="1" sqref="F6:F16">
      <formula1>"Criado,Pendente,Nao se aplica"</formula1>
    </dataValidation>
    <dataValidation type="list" allowBlank="1" sqref="C20:C26 F20:F26">
      <formula1>"Sim,Nao,Parcial"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3" width="54.29"/>
    <col customWidth="1" min="4" max="4" width="26.71"/>
    <col customWidth="1" min="5" max="6" width="20.0"/>
    <col customWidth="1" min="7" max="7" width="57.57"/>
    <col customWidth="1" min="8" max="9" width="16.0"/>
    <col customWidth="1" min="10" max="26" width="8.71"/>
  </cols>
  <sheetData>
    <row r="1" ht="48.0" customHeight="1">
      <c r="B1" s="1" t="s">
        <v>272</v>
      </c>
      <c r="C1" s="2"/>
      <c r="D1" s="2"/>
      <c r="E1" s="2"/>
      <c r="F1" s="2"/>
      <c r="G1" s="2"/>
      <c r="H1" s="2"/>
      <c r="I1" s="3"/>
    </row>
    <row r="2">
      <c r="B2" s="48" t="s">
        <v>19</v>
      </c>
    </row>
    <row r="3" ht="9.75" customHeight="1"/>
    <row r="4" ht="27.75" customHeight="1">
      <c r="B4" s="26" t="s">
        <v>273</v>
      </c>
      <c r="C4" s="6"/>
      <c r="D4" s="6"/>
      <c r="E4" s="6"/>
      <c r="F4" s="6"/>
      <c r="G4" s="6"/>
      <c r="H4" s="6"/>
      <c r="I4" s="7"/>
    </row>
    <row r="5" ht="25.5" customHeight="1">
      <c r="B5" s="64" t="s">
        <v>274</v>
      </c>
      <c r="C5" s="7"/>
      <c r="D5" s="68"/>
      <c r="E5" s="10"/>
    </row>
    <row r="6" ht="25.5" customHeight="1">
      <c r="B6" s="64" t="s">
        <v>275</v>
      </c>
      <c r="C6" s="7"/>
      <c r="D6" s="101"/>
    </row>
    <row r="7" ht="25.5" customHeight="1">
      <c r="B7" s="64" t="s">
        <v>276</v>
      </c>
      <c r="C7" s="7"/>
      <c r="D7" s="68"/>
      <c r="E7" s="10"/>
    </row>
    <row r="8" ht="25.5" customHeight="1">
      <c r="B8" s="64" t="s">
        <v>277</v>
      </c>
      <c r="C8" s="7"/>
      <c r="D8" s="68"/>
      <c r="E8" s="9"/>
      <c r="F8" s="9"/>
      <c r="G8" s="10"/>
    </row>
    <row r="9" ht="25.5" customHeight="1">
      <c r="B9" s="64" t="s">
        <v>278</v>
      </c>
      <c r="C9" s="7"/>
      <c r="D9" s="68"/>
      <c r="E9" s="9"/>
      <c r="F9" s="9"/>
      <c r="G9" s="10"/>
    </row>
    <row r="10" ht="7.5" customHeight="1"/>
    <row r="11" ht="27.75" customHeight="1">
      <c r="B11" s="26" t="s">
        <v>279</v>
      </c>
      <c r="C11" s="6"/>
      <c r="D11" s="6"/>
      <c r="E11" s="6"/>
      <c r="F11" s="6"/>
      <c r="G11" s="6"/>
      <c r="H11" s="6"/>
      <c r="I11" s="7"/>
    </row>
    <row r="12" ht="25.5" customHeight="1">
      <c r="B12" s="29" t="s">
        <v>45</v>
      </c>
      <c r="C12" s="29" t="s">
        <v>280</v>
      </c>
      <c r="D12" s="29" t="s">
        <v>281</v>
      </c>
      <c r="E12" s="29" t="s">
        <v>13</v>
      </c>
      <c r="F12" s="29" t="s">
        <v>282</v>
      </c>
      <c r="G12" s="29" t="s">
        <v>16</v>
      </c>
    </row>
    <row r="13" ht="25.5" customHeight="1">
      <c r="B13" s="52">
        <v>1.0</v>
      </c>
      <c r="C13" s="54" t="s">
        <v>283</v>
      </c>
      <c r="D13" s="71" t="s">
        <v>284</v>
      </c>
      <c r="E13" s="102"/>
      <c r="F13" s="54"/>
      <c r="G13" s="34"/>
    </row>
    <row r="14" ht="25.5" customHeight="1">
      <c r="B14" s="56">
        <v>2.0</v>
      </c>
      <c r="C14" s="58" t="s">
        <v>285</v>
      </c>
      <c r="D14" s="73" t="s">
        <v>284</v>
      </c>
      <c r="E14" s="103"/>
      <c r="F14" s="58"/>
      <c r="G14" s="39"/>
    </row>
    <row r="15" ht="25.5" customHeight="1">
      <c r="B15" s="52">
        <v>3.0</v>
      </c>
      <c r="C15" s="54" t="s">
        <v>286</v>
      </c>
      <c r="D15" s="71" t="s">
        <v>284</v>
      </c>
      <c r="E15" s="102"/>
      <c r="F15" s="54"/>
      <c r="G15" s="34"/>
    </row>
    <row r="16" ht="25.5" customHeight="1">
      <c r="B16" s="56">
        <v>4.0</v>
      </c>
      <c r="C16" s="58" t="s">
        <v>287</v>
      </c>
      <c r="D16" s="73" t="s">
        <v>284</v>
      </c>
      <c r="E16" s="103"/>
      <c r="F16" s="58"/>
      <c r="G16" s="39"/>
    </row>
    <row r="17" ht="25.5" customHeight="1">
      <c r="B17" s="52">
        <v>5.0</v>
      </c>
      <c r="C17" s="54" t="s">
        <v>288</v>
      </c>
      <c r="D17" s="71" t="s">
        <v>284</v>
      </c>
      <c r="E17" s="102"/>
      <c r="F17" s="54"/>
      <c r="G17" s="34"/>
    </row>
    <row r="18" ht="25.5" customHeight="1">
      <c r="B18" s="56">
        <v>6.0</v>
      </c>
      <c r="C18" s="58" t="s">
        <v>289</v>
      </c>
      <c r="D18" s="73" t="s">
        <v>284</v>
      </c>
      <c r="E18" s="103"/>
      <c r="F18" s="58"/>
      <c r="G18" s="39"/>
    </row>
    <row r="19" ht="25.5" customHeight="1">
      <c r="B19" s="52">
        <v>7.0</v>
      </c>
      <c r="C19" s="54" t="s">
        <v>290</v>
      </c>
      <c r="D19" s="71" t="s">
        <v>284</v>
      </c>
      <c r="E19" s="102"/>
      <c r="F19" s="54"/>
      <c r="G19" s="34"/>
    </row>
    <row r="20" ht="25.5" customHeight="1">
      <c r="B20" s="56">
        <v>8.0</v>
      </c>
      <c r="C20" s="58" t="s">
        <v>291</v>
      </c>
      <c r="D20" s="73" t="s">
        <v>284</v>
      </c>
      <c r="E20" s="103"/>
      <c r="F20" s="58"/>
      <c r="G20" s="39"/>
    </row>
    <row r="21" ht="25.5" customHeight="1">
      <c r="B21" s="52">
        <v>9.0</v>
      </c>
      <c r="C21" s="54" t="s">
        <v>292</v>
      </c>
      <c r="D21" s="71" t="s">
        <v>284</v>
      </c>
      <c r="E21" s="102"/>
      <c r="F21" s="54"/>
      <c r="G21" s="34"/>
    </row>
    <row r="22" ht="7.5" customHeight="1"/>
    <row r="23" ht="27.75" customHeight="1">
      <c r="B23" s="26" t="s">
        <v>293</v>
      </c>
      <c r="C23" s="6"/>
      <c r="D23" s="6"/>
      <c r="E23" s="6"/>
      <c r="F23" s="6"/>
      <c r="G23" s="6"/>
      <c r="H23" s="6"/>
      <c r="I23" s="7"/>
    </row>
    <row r="24" ht="25.5" customHeight="1">
      <c r="B24" s="29" t="s">
        <v>45</v>
      </c>
      <c r="C24" s="29" t="s">
        <v>231</v>
      </c>
      <c r="D24" s="29" t="s">
        <v>232</v>
      </c>
      <c r="E24" s="29" t="s">
        <v>294</v>
      </c>
      <c r="F24" s="29" t="s">
        <v>47</v>
      </c>
      <c r="G24" s="29" t="s">
        <v>13</v>
      </c>
      <c r="H24" s="29" t="s">
        <v>14</v>
      </c>
      <c r="I24" s="29" t="s">
        <v>16</v>
      </c>
    </row>
    <row r="25" ht="24.75" customHeight="1">
      <c r="B25" s="52">
        <v>1.0</v>
      </c>
      <c r="C25" s="94"/>
      <c r="D25" s="94"/>
      <c r="E25" s="94"/>
      <c r="F25" s="94"/>
      <c r="G25" s="94"/>
      <c r="H25" s="94"/>
      <c r="I25" s="94"/>
    </row>
    <row r="26" ht="24.75" customHeight="1">
      <c r="B26" s="56">
        <v>2.0</v>
      </c>
      <c r="C26" s="97"/>
      <c r="D26" s="97"/>
      <c r="E26" s="97"/>
      <c r="F26" s="97"/>
      <c r="G26" s="97"/>
      <c r="H26" s="97"/>
      <c r="I26" s="97"/>
    </row>
    <row r="27" ht="24.75" customHeight="1">
      <c r="B27" s="52">
        <v>3.0</v>
      </c>
      <c r="C27" s="94"/>
      <c r="D27" s="94"/>
      <c r="E27" s="94"/>
      <c r="F27" s="94"/>
      <c r="G27" s="94"/>
      <c r="H27" s="94"/>
      <c r="I27" s="94"/>
    </row>
    <row r="28" ht="24.75" customHeight="1">
      <c r="B28" s="56">
        <v>4.0</v>
      </c>
      <c r="C28" s="97"/>
      <c r="D28" s="97"/>
      <c r="E28" s="97"/>
      <c r="F28" s="97"/>
      <c r="G28" s="97"/>
      <c r="H28" s="97"/>
      <c r="I28" s="97"/>
    </row>
    <row r="29" ht="24.75" customHeight="1">
      <c r="B29" s="52">
        <v>5.0</v>
      </c>
      <c r="C29" s="94"/>
      <c r="D29" s="94"/>
      <c r="E29" s="94"/>
      <c r="F29" s="94"/>
      <c r="G29" s="94"/>
      <c r="H29" s="94"/>
      <c r="I29" s="94"/>
    </row>
    <row r="30" ht="24.75" customHeight="1">
      <c r="B30" s="56">
        <v>6.0</v>
      </c>
      <c r="C30" s="97"/>
      <c r="D30" s="97"/>
      <c r="E30" s="97"/>
      <c r="F30" s="97"/>
      <c r="G30" s="97"/>
      <c r="H30" s="97"/>
      <c r="I30" s="97"/>
    </row>
    <row r="31" ht="24.75" customHeight="1">
      <c r="B31" s="52">
        <v>7.0</v>
      </c>
      <c r="C31" s="94"/>
      <c r="D31" s="94"/>
      <c r="E31" s="94"/>
      <c r="F31" s="94"/>
      <c r="G31" s="94"/>
      <c r="H31" s="94"/>
      <c r="I31" s="94"/>
    </row>
    <row r="32" ht="24.75" customHeight="1">
      <c r="B32" s="56">
        <v>8.0</v>
      </c>
      <c r="C32" s="97"/>
      <c r="D32" s="97"/>
      <c r="E32" s="97"/>
      <c r="F32" s="97"/>
      <c r="G32" s="97"/>
      <c r="H32" s="97"/>
      <c r="I32" s="97"/>
    </row>
    <row r="33" ht="7.5" customHeight="1"/>
    <row r="34" ht="27.75" customHeight="1">
      <c r="B34" s="26" t="s">
        <v>295</v>
      </c>
      <c r="C34" s="6"/>
      <c r="D34" s="6"/>
      <c r="E34" s="6"/>
      <c r="F34" s="6"/>
      <c r="G34" s="6"/>
      <c r="H34" s="6"/>
      <c r="I34" s="7"/>
    </row>
    <row r="35" ht="120.0" customHeight="1">
      <c r="B35" s="76"/>
      <c r="C35" s="9"/>
      <c r="D35" s="9"/>
      <c r="E35" s="9"/>
      <c r="F35" s="9"/>
      <c r="G35" s="9"/>
      <c r="H35" s="9"/>
      <c r="I35" s="1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8:C8"/>
    <mergeCell ref="D8:G8"/>
    <mergeCell ref="B9:C9"/>
    <mergeCell ref="D9:G9"/>
    <mergeCell ref="B11:I11"/>
    <mergeCell ref="B23:I23"/>
    <mergeCell ref="B34:I34"/>
    <mergeCell ref="B35:I35"/>
    <mergeCell ref="B1:I1"/>
    <mergeCell ref="B4:I4"/>
    <mergeCell ref="B5:C5"/>
    <mergeCell ref="D5:E5"/>
    <mergeCell ref="B6:C6"/>
    <mergeCell ref="B7:C7"/>
    <mergeCell ref="D7:E7"/>
  </mergeCells>
  <dataValidations>
    <dataValidation type="list" allowBlank="1" sqref="D13:D21">
      <formula1>"Sim,Nao,Parcial"</formula1>
    </dataValidation>
    <dataValidation type="list" allowBlank="1" sqref="H25:H32">
      <formula1>"Em andamento,Atingida,Nao atingida"</formula1>
    </dataValidation>
  </dataValidations>
  <printOptions/>
  <pageMargins bottom="1.0" footer="0.0" header="0.0" left="0.75" right="0.75" top="1.0"/>
  <pageSetup paperSize="9" orientation="portrait"/>
  <drawing r:id="rId1"/>
</worksheet>
</file>